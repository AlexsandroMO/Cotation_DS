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Y:\AMY\PROG\"/>
    </mc:Choice>
  </mc:AlternateContent>
  <xr:revisionPtr revIDLastSave="0" documentId="13_ncr:1_{672D287D-99A9-459E-A3FB-0B5FA809D2C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LANILHA" sheetId="1" r:id="rId1"/>
    <sheet name="BASE" sheetId="19" r:id="rId2"/>
    <sheet name="FILTER" sheetId="20" r:id="rId3"/>
    <sheet name="UN" sheetId="8" r:id="rId4"/>
    <sheet name="SOLICITANTES" sheetId="6" r:id="rId5"/>
    <sheet name="FORNECEDORES" sheetId="12" r:id="rId6"/>
    <sheet name="SITES" sheetId="13" r:id="rId7"/>
  </sheets>
  <definedNames>
    <definedName name="_xleta.BASE" hidden="1" xlm="1">#NAME?</definedName>
    <definedName name="_xleta.IF" hidden="1" xlm="1">#NAME?</definedName>
    <definedName name="_xlnm.Print_Area" localSheetId="0">PLANILHA!$A$1:$K$52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F22" i="1"/>
  <c r="F23" i="1"/>
  <c r="F24" i="1"/>
  <c r="F25" i="1"/>
  <c r="F26" i="1"/>
  <c r="F27" i="1"/>
  <c r="F28" i="1"/>
  <c r="F29" i="1"/>
  <c r="F30" i="1"/>
  <c r="F19" i="1"/>
  <c r="L19" i="1" s="1"/>
  <c r="H20" i="1"/>
  <c r="I20" i="1" s="1"/>
  <c r="H21" i="1"/>
  <c r="I21" i="1" s="1"/>
  <c r="H22" i="1"/>
  <c r="I22" i="1" s="1"/>
  <c r="H23" i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H31" i="1"/>
  <c r="I31" i="1" s="1"/>
  <c r="H32" i="1"/>
  <c r="I32" i="1" s="1"/>
  <c r="H33" i="1"/>
  <c r="H34" i="1"/>
  <c r="I34" i="1" s="1"/>
  <c r="H35" i="1"/>
  <c r="I35" i="1" s="1"/>
  <c r="H36" i="1"/>
  <c r="I36" i="1" s="1"/>
  <c r="H37" i="1"/>
  <c r="H38" i="1"/>
  <c r="I38" i="1" s="1"/>
  <c r="H39" i="1"/>
  <c r="I39" i="1" s="1"/>
  <c r="H40" i="1"/>
  <c r="H41" i="1"/>
  <c r="I41" i="1" s="1"/>
  <c r="H42" i="1"/>
  <c r="I42" i="1" s="1"/>
  <c r="H19" i="1"/>
  <c r="I23" i="1"/>
  <c r="I30" i="1"/>
  <c r="I33" i="1"/>
  <c r="I37" i="1"/>
  <c r="I40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F20" i="1"/>
  <c r="F21" i="1"/>
  <c r="F31" i="1"/>
  <c r="F32" i="1"/>
  <c r="F33" i="1"/>
  <c r="F34" i="1"/>
  <c r="F35" i="1"/>
  <c r="F36" i="1"/>
  <c r="F37" i="1"/>
  <c r="F38" i="1"/>
  <c r="F39" i="1"/>
  <c r="F40" i="1"/>
  <c r="F41" i="1"/>
  <c r="F42" i="1"/>
  <c r="N42" i="1"/>
  <c r="I9" i="1"/>
  <c r="E13" i="1"/>
  <c r="E16" i="1"/>
  <c r="I19" i="1" l="1"/>
  <c r="H44" i="1" s="1"/>
  <c r="N41" i="1"/>
  <c r="N37" i="1"/>
  <c r="N40" i="1"/>
  <c r="N39" i="1"/>
  <c r="N38" i="1"/>
  <c r="N36" i="1"/>
  <c r="N35" i="1"/>
  <c r="N34" i="1"/>
</calcChain>
</file>

<file path=xl/sharedStrings.xml><?xml version="1.0" encoding="utf-8"?>
<sst xmlns="http://schemas.openxmlformats.org/spreadsheetml/2006/main" count="226" uniqueCount="174">
  <si>
    <t xml:space="preserve">CNPJ: 53.686.899.0001-04 </t>
  </si>
  <si>
    <t xml:space="preserve">INSC. EST. 14.399.623  </t>
  </si>
  <si>
    <t>ANGRA DOS REIS - RJ</t>
  </si>
  <si>
    <t xml:space="preserve">CONTATO: DANIEL SANTOS   </t>
  </si>
  <si>
    <t>E-MAIL: ds.grupo@hotmail.com</t>
  </si>
  <si>
    <t>DANIEL SANTOS ( DS GRUPO )</t>
  </si>
  <si>
    <t>ITEM</t>
  </si>
  <si>
    <t>UN</t>
  </si>
  <si>
    <t>NCM</t>
  </si>
  <si>
    <t>PRODUTO / MODELO / MARCA</t>
  </si>
  <si>
    <t>UNITÁRIO</t>
  </si>
  <si>
    <t>CLIENTE:</t>
  </si>
  <si>
    <t>COTAÇÃO</t>
  </si>
  <si>
    <t>ENDEREÇO:</t>
  </si>
  <si>
    <t>CONTATO:</t>
  </si>
  <si>
    <t>E-MAIL:</t>
  </si>
  <si>
    <t>ELETRONUCLEAR S.A</t>
  </si>
  <si>
    <t xml:space="preserve">COMPRADORES </t>
  </si>
  <si>
    <t xml:space="preserve">merelli@eletronuclear.gov.br </t>
  </si>
  <si>
    <t>FORMA DE PAGAMENTO:</t>
  </si>
  <si>
    <t>QTD</t>
  </si>
  <si>
    <t>KG</t>
  </si>
  <si>
    <t>M³</t>
  </si>
  <si>
    <t>METRO</t>
  </si>
  <si>
    <t>LITRO</t>
  </si>
  <si>
    <t>OBS</t>
  </si>
  <si>
    <t>INFORMATICA</t>
  </si>
  <si>
    <t>COTAÇÃO Nº</t>
  </si>
  <si>
    <t>POLIANA CASSIANO</t>
  </si>
  <si>
    <t>poli01@eletronuclear.gov.br</t>
  </si>
  <si>
    <t>MERELLIN BULHÕES</t>
  </si>
  <si>
    <t>MANUELA SANTOS</t>
  </si>
  <si>
    <t>manusan@eletronuclear.gov.br</t>
  </si>
  <si>
    <t>FOLHA</t>
  </si>
  <si>
    <t>elianee@eletronuclear.gov.br</t>
  </si>
  <si>
    <t>ELIANE NOLASCO</t>
  </si>
  <si>
    <t>EMAIL</t>
  </si>
  <si>
    <t>JOÃO PEDRO</t>
  </si>
  <si>
    <t>jpcunha@eletronuclear.gov.br</t>
  </si>
  <si>
    <t>SUBTOTAL</t>
  </si>
  <si>
    <t>VALOR TOTAL:</t>
  </si>
  <si>
    <t>Tudo o que você busca, com eficiência e confiança.</t>
  </si>
  <si>
    <t>WHATSAPP:  (24) 99911 - 1553</t>
  </si>
  <si>
    <t xml:space="preserve">PRAZO DE ENTREGA: </t>
  </si>
  <si>
    <t xml:space="preserve">VALIDADE DA PROPOSTA: </t>
  </si>
  <si>
    <t>BOBINA</t>
  </si>
  <si>
    <t>FARDO</t>
  </si>
  <si>
    <t>PEÇA</t>
  </si>
  <si>
    <t>M²</t>
  </si>
  <si>
    <t xml:space="preserve">CJ </t>
  </si>
  <si>
    <t>METROS</t>
  </si>
  <si>
    <t>PACOTE</t>
  </si>
  <si>
    <t>MATERIAL DE CONSTRUÇÃO</t>
  </si>
  <si>
    <t>TERMINAIS</t>
  </si>
  <si>
    <t>ELETRICA</t>
  </si>
  <si>
    <t>INTELLI</t>
  </si>
  <si>
    <t>VOTORANTIM</t>
  </si>
  <si>
    <t>CSN</t>
  </si>
  <si>
    <t>DIVERSOS</t>
  </si>
  <si>
    <t>BRINOX</t>
  </si>
  <si>
    <t>FERRAMENTA / FERRAGENS</t>
  </si>
  <si>
    <t>SOQUETES</t>
  </si>
  <si>
    <t>MARTINAZZO</t>
  </si>
  <si>
    <t>RODIZIO</t>
  </si>
  <si>
    <t>INTRAL - LUMINARIA...</t>
  </si>
  <si>
    <t>CABO - NEXANS</t>
  </si>
  <si>
    <t>CABO - SIL</t>
  </si>
  <si>
    <t>CABO - CORFIO 1KW</t>
  </si>
  <si>
    <t>ESCRITORIO</t>
  </si>
  <si>
    <t>TERMOLAMINADORA / PLASTIFICADORA</t>
  </si>
  <si>
    <t>FRAGMENTADORA / PLASTIFICADORA</t>
  </si>
  <si>
    <t>LUBFER / ENGATERAPIDO...</t>
  </si>
  <si>
    <t>PAPELÃO HIDRAULICO ( AENEJOTA )</t>
  </si>
  <si>
    <t>STECK - ELETRICA...</t>
  </si>
  <si>
    <t>SCHENIDER - ELETRICA...</t>
  </si>
  <si>
    <t>UNIAO MUNDIAL - FECHADURAS</t>
  </si>
  <si>
    <t>PAPAIZ - FECHADURAS</t>
  </si>
  <si>
    <t>FIXTIL - BROCAS, FECHADURAS...</t>
  </si>
  <si>
    <t>Dimencional</t>
  </si>
  <si>
    <t>SITES</t>
  </si>
  <si>
    <t>MultComercial</t>
  </si>
  <si>
    <t>Terminais, Conectores, Cabos, Medição Eletrica</t>
  </si>
  <si>
    <t>VENDE DE TUDO ( Terminais, EPI)</t>
  </si>
  <si>
    <t>Material de construção em geral</t>
  </si>
  <si>
    <t>Santil</t>
  </si>
  <si>
    <t>Copafer</t>
  </si>
  <si>
    <t>Casa Dos Reles</t>
  </si>
  <si>
    <t>Reles, eletrica em geral</t>
  </si>
  <si>
    <t>Anhanguera</t>
  </si>
  <si>
    <t>Ferragens ( Brocas...)</t>
  </si>
  <si>
    <t>PARES</t>
  </si>
  <si>
    <t>gioliv@eletronuclear.gov.br</t>
  </si>
  <si>
    <t>GIOVANA OLIVEIRA</t>
  </si>
  <si>
    <t>flacris@eletronuclear.gov.br</t>
  </si>
  <si>
    <t>FLÁVIA FLUTUOSO</t>
  </si>
  <si>
    <t>MARIA CLARA</t>
  </si>
  <si>
    <t>claraf@eletronuclear.gov.br</t>
  </si>
  <si>
    <t>ALUISIO PEYNEAU</t>
  </si>
  <si>
    <t>alupey@eletronuclear.gov.br</t>
  </si>
  <si>
    <t>LUIZ FELIPE</t>
  </si>
  <si>
    <t>lmendes@eletronuclear.gov.br</t>
  </si>
  <si>
    <t>GISELE LACERDA</t>
  </si>
  <si>
    <t>giselel@eletronuclear.gov.br</t>
  </si>
  <si>
    <t>MARCOS VINÍCIOS</t>
  </si>
  <si>
    <t>vinicio@eletronuclear.gov.br</t>
  </si>
  <si>
    <t>30 DIAS CORRIDOS</t>
  </si>
  <si>
    <t>jaquasc@eletronuclear.gov.br</t>
  </si>
  <si>
    <t xml:space="preserve">JAQUELINE VASCONCELOS </t>
  </si>
  <si>
    <t>ITAORNA, ANGRA DOS REIS - RJ</t>
  </si>
  <si>
    <t xml:space="preserve">MANOEL JORDÃO </t>
  </si>
  <si>
    <t>mjcar@eletronuclear.gov.br</t>
  </si>
  <si>
    <t>30 DDL</t>
  </si>
  <si>
    <t>HENRIQUE PASSOS</t>
  </si>
  <si>
    <t>henrique.passos@marteengenharia.com.br</t>
  </si>
  <si>
    <t>CIF - ATÉ 15 DIAS</t>
  </si>
  <si>
    <t>DADOS DA COTAÇÃO</t>
  </si>
  <si>
    <t>DAYANA</t>
  </si>
  <si>
    <t>BARBARA</t>
  </si>
  <si>
    <t>LUIS ..</t>
  </si>
  <si>
    <t>PAULO..</t>
  </si>
  <si>
    <t>....</t>
  </si>
  <si>
    <t>ANGRA 3</t>
  </si>
  <si>
    <t>-</t>
  </si>
  <si>
    <t>8418.10.00</t>
  </si>
  <si>
    <t>Saco alvejado</t>
  </si>
  <si>
    <t>Geladeira Frost Free</t>
  </si>
  <si>
    <t>7326.90.90</t>
  </si>
  <si>
    <t>3926.90.90</t>
  </si>
  <si>
    <t>Abraçadeira de nylon</t>
  </si>
  <si>
    <t>Abraçadeira metálica</t>
  </si>
  <si>
    <t>3506.91.10</t>
  </si>
  <si>
    <t>3506.10.90</t>
  </si>
  <si>
    <t>3506.10.10</t>
  </si>
  <si>
    <t>7313.00.00</t>
  </si>
  <si>
    <t>PRODUCT</t>
  </si>
  <si>
    <t>Lubrificantes Industriais</t>
  </si>
  <si>
    <t>Graxa lubrificante tipo pasta, marca Molykote, base sintética com sólidos lubrificantes, resistente à altas cargas e temperaturas. Embalagem: tubo 100g ou pote 1kg.</t>
  </si>
  <si>
    <t>Adesivos e Selantes</t>
  </si>
  <si>
    <t>Adesivo instantâneo (cianoacrilato)</t>
  </si>
  <si>
    <t>Adesivo instantâneo base cianoacrilato, cura rápida, alta resistência, uso geral. Embalagem: 20g ou 22g. Ex: Super Bonder Loctite.</t>
  </si>
  <si>
    <t>Adesivo de contato (Cascola 730 g)</t>
  </si>
  <si>
    <t>Adesivo de contato à base de borracha sintética, marca Cascola, para colagem de MDF, couro, EVA, etc. Embalagem: lata 730g.</t>
  </si>
  <si>
    <t>Adesivo Cascola (30 g)</t>
  </si>
  <si>
    <t>Adesivo de contato Cascola tradicional, base solvente, para pequenos reparos. Embalagem: tubo 30g.</t>
  </si>
  <si>
    <t>Fixadores e Suportes</t>
  </si>
  <si>
    <t>Abraçadeira plástica tipo nylon, UV resistente, cor preta ou natural. Dimensões típicas: 300mm x 4,8mm. Embalagem: pacote com 100 unidades.</t>
  </si>
  <si>
    <t>Abraçadeira em aço galvanizado tipo "U" ou tipo "mangote", para fixação de eletrodutos ou mangueiras. Tamanhos diversos (ex: 1”, 1.½”).</t>
  </si>
  <si>
    <t>Materiais Têxteis</t>
  </si>
  <si>
    <t>6305.32.00</t>
  </si>
  <si>
    <t>Materiais Metálicos</t>
  </si>
  <si>
    <t>Arame farpado</t>
  </si>
  <si>
    <t>Arame farpado galvanizado, tipo Elefante, rolo de 100m. Fio de aço galvanizado com dupla torção, resistência ≥ 350MPa.</t>
  </si>
  <si>
    <t>Ventilador de parede</t>
  </si>
  <si>
    <t>Ventilador oscilante de parede, industrial ou doméstico, 3 pás, 60 cm, 220 V ou bivolt, potência mínima 200 W, 3 velocidades.</t>
  </si>
  <si>
    <t>8414.51.10</t>
  </si>
  <si>
    <t>Ventilador pedestal</t>
  </si>
  <si>
    <t>Ventilador de coluna/pedestal, altura ajustável, 3 pás, 220 V ou bivolt, 3 velocidades, potência mínima 200 W, base circular.</t>
  </si>
  <si>
    <t>Refrigerador doméstico vertical com sistema frost free, capacidade entre 300 L e 450 L, 220 V, eficiência energética classe A.</t>
  </si>
  <si>
    <t>Ferramentas Elétricas</t>
  </si>
  <si>
    <t>Chave parafusadeira</t>
  </si>
  <si>
    <t>Chave parafusadeira elétrica ou a bateria (12 V ou superior), com controle de torque, mandril de ⅜", rotação reversível, com ou sem impacto.</t>
  </si>
  <si>
    <t>8467.21.00</t>
  </si>
  <si>
    <t>DESCRIPTION</t>
  </si>
  <si>
    <t>Eletrodomésticos</t>
  </si>
  <si>
    <t>UNIT</t>
  </si>
  <si>
    <t>CATEGORY</t>
  </si>
  <si>
    <t>DESCRIÇÃO COMPLETA</t>
  </si>
  <si>
    <t>Saco alvejado de algodão alvejado cru, costurado, tamanho padrão 60x100 cm. Gramatura mínima: 180 g/m². Usado para armazenagem geral ou proteção de peças.</t>
  </si>
  <si>
    <t>Graxa Pasta tubo 100g ou pote 1kg, Molykote</t>
  </si>
  <si>
    <t>Graxa Pasta tubo 3,5kg, Molykote</t>
  </si>
  <si>
    <t>Graxa lubrificante tipo pasta, marca Molykote, base sintética com sólidos lubrificantes, resistente à altas cargas e temperaturas. Embalagem: tubo 3,5kg.</t>
  </si>
  <si>
    <t>3402.90.39</t>
  </si>
  <si>
    <t>3401.20.90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</si>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</sst>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"/>
    <numFmt numFmtId="165" formatCode="000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Times New Roman"/>
      <family val="1"/>
    </font>
    <font>
      <sz val="11"/>
      <color theme="4" tint="-0.249977111117893"/>
      <name val="Calibri"/>
      <family val="2"/>
      <scheme val="minor"/>
    </font>
    <font>
      <b/>
      <sz val="14"/>
      <color theme="4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6"/>
      <name val="Yu Gothic"/>
      <family val="2"/>
      <charset val="128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10"/>
      <color theme="4" tint="-0.249977111117893"/>
      <name val="Times New Roman"/>
      <family val="1"/>
    </font>
    <font>
      <sz val="11"/>
      <color theme="1" tint="0.14999847407452621"/>
      <name val="Calibri"/>
      <family val="2"/>
      <scheme val="minor"/>
    </font>
    <font>
      <u/>
      <sz val="10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8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0"/>
      <color theme="2" tint="-0.74999237037263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11"/>
      <color rgb="FF212121"/>
      <name val=".SFUI-Regular"/>
      <family val="18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121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3" borderId="16" applyNumberFormat="0" applyFont="0" applyAlignment="0" applyProtection="0"/>
    <xf numFmtId="0" fontId="30" fillId="4" borderId="0" applyNumberFormat="0" applyBorder="0" applyAlignment="0" applyProtection="0"/>
  </cellStyleXfs>
  <cellXfs count="109">
    <xf numFmtId="0" fontId="0" fillId="0" borderId="0" xfId="0"/>
    <xf numFmtId="0" fontId="2" fillId="2" borderId="0" xfId="0" applyFont="1" applyFill="1"/>
    <xf numFmtId="0" fontId="1" fillId="2" borderId="0" xfId="1" applyFill="1"/>
    <xf numFmtId="0" fontId="0" fillId="2" borderId="0" xfId="0" applyFill="1"/>
    <xf numFmtId="0" fontId="0" fillId="2" borderId="0" xfId="0" applyFill="1" applyAlignment="1">
      <alignment horizontal="left"/>
    </xf>
    <xf numFmtId="0" fontId="2" fillId="2" borderId="13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2" xfId="0" applyFill="1" applyBorder="1" applyAlignment="1">
      <alignment horizontal="left"/>
    </xf>
    <xf numFmtId="0" fontId="0" fillId="2" borderId="13" xfId="0" applyFill="1" applyBorder="1"/>
    <xf numFmtId="0" fontId="7" fillId="2" borderId="13" xfId="1" applyFont="1" applyFill="1" applyBorder="1" applyAlignment="1">
      <alignment horizontal="center"/>
    </xf>
    <xf numFmtId="0" fontId="7" fillId="2" borderId="0" xfId="1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3" applyFont="1"/>
    <xf numFmtId="0" fontId="13" fillId="2" borderId="13" xfId="0" applyFont="1" applyFill="1" applyBorder="1"/>
    <xf numFmtId="164" fontId="14" fillId="2" borderId="3" xfId="0" applyNumberFormat="1" applyFont="1" applyFill="1" applyBorder="1" applyAlignment="1">
      <alignment vertical="center"/>
    </xf>
    <xf numFmtId="164" fontId="14" fillId="2" borderId="10" xfId="0" applyNumberFormat="1" applyFont="1" applyFill="1" applyBorder="1" applyAlignment="1">
      <alignment vertical="center"/>
    </xf>
    <xf numFmtId="14" fontId="2" fillId="2" borderId="0" xfId="1" applyNumberFormat="1" applyFont="1" applyFill="1" applyAlignment="1">
      <alignment vertical="center"/>
    </xf>
    <xf numFmtId="0" fontId="15" fillId="2" borderId="14" xfId="0" applyFont="1" applyFill="1" applyBorder="1" applyAlignment="1">
      <alignment vertical="center"/>
    </xf>
    <xf numFmtId="0" fontId="15" fillId="2" borderId="15" xfId="0" applyFont="1" applyFill="1" applyBorder="1" applyAlignment="1">
      <alignment vertical="center"/>
    </xf>
    <xf numFmtId="0" fontId="17" fillId="2" borderId="0" xfId="1" applyFont="1" applyFill="1" applyAlignment="1">
      <alignment vertical="top"/>
    </xf>
    <xf numFmtId="164" fontId="21" fillId="2" borderId="10" xfId="0" applyNumberFormat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/>
    </xf>
    <xf numFmtId="0" fontId="23" fillId="2" borderId="10" xfId="0" applyFont="1" applyFill="1" applyBorder="1" applyAlignment="1">
      <alignment horizontal="center"/>
    </xf>
    <xf numFmtId="164" fontId="2" fillId="2" borderId="1" xfId="0" applyNumberFormat="1" applyFont="1" applyFill="1" applyBorder="1" applyAlignment="1" applyProtection="1">
      <alignment horizontal="center" vertical="top"/>
      <protection locked="0"/>
    </xf>
    <xf numFmtId="49" fontId="2" fillId="2" borderId="1" xfId="0" applyNumberFormat="1" applyFont="1" applyFill="1" applyBorder="1" applyAlignment="1" applyProtection="1">
      <alignment horizontal="center" vertical="top"/>
      <protection locked="0"/>
    </xf>
    <xf numFmtId="165" fontId="2" fillId="2" borderId="1" xfId="0" applyNumberFormat="1" applyFont="1" applyFill="1" applyBorder="1" applyAlignment="1" applyProtection="1">
      <alignment horizontal="center" vertical="top"/>
      <protection locked="0"/>
    </xf>
    <xf numFmtId="44" fontId="2" fillId="2" borderId="1" xfId="0" applyNumberFormat="1" applyFont="1" applyFill="1" applyBorder="1" applyAlignment="1" applyProtection="1">
      <alignment horizontal="left" vertical="top"/>
      <protection locked="0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1" xfId="0" applyBorder="1"/>
    <xf numFmtId="0" fontId="5" fillId="0" borderId="1" xfId="3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1" xfId="3" applyBorder="1" applyAlignment="1">
      <alignment horizontal="center" vertical="center"/>
    </xf>
    <xf numFmtId="0" fontId="5" fillId="0" borderId="1" xfId="3" applyBorder="1" applyAlignment="1">
      <alignment horizontal="center" vertical="center" wrapText="1"/>
    </xf>
    <xf numFmtId="0" fontId="2" fillId="2" borderId="7" xfId="0" applyFont="1" applyFill="1" applyBorder="1"/>
    <xf numFmtId="0" fontId="2" fillId="2" borderId="6" xfId="0" applyFont="1" applyFill="1" applyBorder="1"/>
    <xf numFmtId="0" fontId="2" fillId="2" borderId="0" xfId="0" applyFont="1" applyFill="1" applyAlignment="1">
      <alignment horizontal="center"/>
    </xf>
    <xf numFmtId="0" fontId="17" fillId="2" borderId="0" xfId="1" applyFont="1" applyFill="1" applyAlignment="1">
      <alignment horizontal="left" vertical="top"/>
    </xf>
    <xf numFmtId="0" fontId="17" fillId="2" borderId="0" xfId="1" applyFont="1" applyFill="1"/>
    <xf numFmtId="0" fontId="15" fillId="2" borderId="8" xfId="0" applyFont="1" applyFill="1" applyBorder="1" applyAlignment="1">
      <alignment vertical="center"/>
    </xf>
    <xf numFmtId="0" fontId="5" fillId="0" borderId="0" xfId="3" applyAlignment="1">
      <alignment horizontal="center" vertical="center"/>
    </xf>
    <xf numFmtId="44" fontId="2" fillId="2" borderId="1" xfId="0" applyNumberFormat="1" applyFont="1" applyFill="1" applyBorder="1" applyAlignment="1">
      <alignment horizontal="left" vertical="top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0" fontId="24" fillId="0" borderId="0" xfId="0" applyFont="1" applyAlignment="1">
      <alignment wrapText="1"/>
    </xf>
    <xf numFmtId="0" fontId="23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164" fontId="14" fillId="2" borderId="10" xfId="0" applyNumberFormat="1" applyFont="1" applyFill="1" applyBorder="1" applyAlignment="1">
      <alignment horizontal="center" vertical="center"/>
    </xf>
    <xf numFmtId="14" fontId="2" fillId="2" borderId="0" xfId="1" applyNumberFormat="1" applyFont="1" applyFill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5" fillId="0" borderId="0" xfId="3"/>
    <xf numFmtId="0" fontId="25" fillId="0" borderId="0" xfId="3" applyFont="1"/>
    <xf numFmtId="0" fontId="26" fillId="0" borderId="0" xfId="3" applyFont="1"/>
    <xf numFmtId="0" fontId="5" fillId="0" borderId="0" xfId="4" applyFont="1"/>
    <xf numFmtId="0" fontId="27" fillId="0" borderId="0" xfId="0" applyFont="1" applyAlignment="1">
      <alignment wrapText="1"/>
    </xf>
    <xf numFmtId="0" fontId="5" fillId="0" borderId="0" xfId="4" applyFont="1" applyAlignment="1">
      <alignment wrapText="1"/>
    </xf>
    <xf numFmtId="0" fontId="5" fillId="0" borderId="0" xfId="3" applyAlignment="1">
      <alignment wrapText="1"/>
    </xf>
    <xf numFmtId="0" fontId="0" fillId="0" borderId="0" xfId="0" applyAlignment="1">
      <alignment vertical="center" wrapText="1"/>
    </xf>
    <xf numFmtId="0" fontId="29" fillId="0" borderId="0" xfId="0" applyFont="1" applyAlignment="1">
      <alignment vertical="center" wrapText="1"/>
    </xf>
    <xf numFmtId="0" fontId="29" fillId="5" borderId="17" xfId="0" applyFont="1" applyFill="1" applyBorder="1" applyAlignment="1">
      <alignment vertical="center" wrapText="1"/>
    </xf>
    <xf numFmtId="0" fontId="29" fillId="6" borderId="17" xfId="0" applyFont="1" applyFill="1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9" xfId="0" applyBorder="1" applyAlignment="1">
      <alignment horizontal="center"/>
    </xf>
    <xf numFmtId="0" fontId="28" fillId="4" borderId="0" xfId="6" applyFont="1"/>
    <xf numFmtId="0" fontId="0" fillId="0" borderId="16" xfId="5" applyFont="1" applyFill="1"/>
    <xf numFmtId="0" fontId="2" fillId="2" borderId="1" xfId="0" applyFont="1" applyFill="1" applyBorder="1" applyAlignment="1" applyProtection="1">
      <alignment horizontal="center" vertical="center"/>
      <protection locked="0"/>
    </xf>
    <xf numFmtId="44" fontId="0" fillId="0" borderId="0" xfId="0" applyNumberFormat="1" applyAlignment="1">
      <alignment vertical="center" wrapText="1"/>
    </xf>
    <xf numFmtId="0" fontId="17" fillId="2" borderId="0" xfId="1" applyFont="1" applyFill="1"/>
    <xf numFmtId="0" fontId="18" fillId="2" borderId="15" xfId="0" applyFont="1" applyFill="1" applyBorder="1" applyAlignment="1">
      <alignment horizontal="right" vertical="center"/>
    </xf>
    <xf numFmtId="0" fontId="19" fillId="2" borderId="0" xfId="1" applyFont="1" applyFill="1"/>
    <xf numFmtId="14" fontId="2" fillId="2" borderId="0" xfId="1" applyNumberFormat="1" applyFont="1" applyFill="1" applyProtection="1">
      <protection locked="0"/>
    </xf>
    <xf numFmtId="0" fontId="23" fillId="2" borderId="1" xfId="1" applyFont="1" applyFill="1" applyBorder="1" applyAlignment="1">
      <alignment horizontal="left"/>
    </xf>
    <xf numFmtId="0" fontId="22" fillId="2" borderId="1" xfId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center"/>
    </xf>
    <xf numFmtId="0" fontId="7" fillId="2" borderId="0" xfId="1" applyFont="1" applyFill="1" applyAlignment="1">
      <alignment horizontal="center"/>
    </xf>
    <xf numFmtId="1" fontId="23" fillId="2" borderId="1" xfId="1" applyNumberFormat="1" applyFont="1" applyFill="1" applyBorder="1" applyAlignment="1" applyProtection="1">
      <alignment horizontal="left" vertical="center"/>
      <protection locked="0"/>
    </xf>
    <xf numFmtId="0" fontId="23" fillId="2" borderId="1" xfId="1" applyFont="1" applyFill="1" applyBorder="1" applyAlignment="1" applyProtection="1">
      <alignment horizontal="left" vertical="center"/>
      <protection locked="0"/>
    </xf>
    <xf numFmtId="0" fontId="16" fillId="2" borderId="1" xfId="4" applyFont="1" applyFill="1" applyBorder="1" applyAlignment="1">
      <alignment horizontal="left" vertical="center"/>
    </xf>
    <xf numFmtId="0" fontId="22" fillId="2" borderId="1" xfId="1" applyFont="1" applyFill="1" applyBorder="1" applyAlignment="1" applyProtection="1">
      <alignment horizontal="left" vertical="center"/>
      <protection locked="0"/>
    </xf>
    <xf numFmtId="44" fontId="21" fillId="2" borderId="10" xfId="0" applyNumberFormat="1" applyFont="1" applyFill="1" applyBorder="1" applyAlignment="1">
      <alignment horizontal="center"/>
    </xf>
    <xf numFmtId="44" fontId="21" fillId="2" borderId="9" xfId="0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2" borderId="1" xfId="1" applyFont="1" applyFill="1" applyBorder="1" applyAlignment="1">
      <alignment horizontal="left"/>
    </xf>
    <xf numFmtId="0" fontId="19" fillId="2" borderId="0" xfId="1" applyFont="1" applyFill="1" applyAlignment="1">
      <alignment horizontal="left" vertical="top"/>
    </xf>
    <xf numFmtId="14" fontId="2" fillId="2" borderId="0" xfId="1" applyNumberFormat="1" applyFont="1" applyFill="1" applyAlignment="1">
      <alignment horizontal="left" vertical="top"/>
    </xf>
    <xf numFmtId="14" fontId="20" fillId="2" borderId="0" xfId="1" applyNumberFormat="1" applyFont="1" applyFill="1" applyAlignment="1">
      <alignment horizontal="right"/>
    </xf>
    <xf numFmtId="0" fontId="22" fillId="2" borderId="3" xfId="1" applyFont="1" applyFill="1" applyBorder="1" applyAlignment="1">
      <alignment horizontal="left" vertical="center"/>
    </xf>
    <xf numFmtId="0" fontId="22" fillId="2" borderId="9" xfId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8" fillId="2" borderId="2" xfId="1" applyFont="1" applyFill="1" applyBorder="1" applyAlignment="1">
      <alignment horizontal="center" vertical="center"/>
    </xf>
    <xf numFmtId="0" fontId="8" fillId="2" borderId="4" xfId="1" applyFont="1" applyFill="1" applyBorder="1" applyAlignment="1">
      <alignment horizontal="center" vertical="center"/>
    </xf>
    <xf numFmtId="1" fontId="19" fillId="2" borderId="4" xfId="1" quotePrefix="1" applyNumberFormat="1" applyFont="1" applyFill="1" applyBorder="1" applyAlignment="1">
      <alignment horizontal="center" vertical="top" wrapText="1"/>
    </xf>
    <xf numFmtId="0" fontId="19" fillId="2" borderId="0" xfId="1" applyFont="1" applyFill="1" applyProtection="1"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4" fontId="19" fillId="2" borderId="4" xfId="1" applyNumberFormat="1" applyFont="1" applyFill="1" applyBorder="1" applyAlignment="1" applyProtection="1">
      <alignment horizontal="center" vertical="top" wrapText="1"/>
      <protection locked="0"/>
    </xf>
    <xf numFmtId="14" fontId="19" fillId="2" borderId="5" xfId="1" applyNumberFormat="1" applyFont="1" applyFill="1" applyBorder="1" applyAlignment="1" applyProtection="1">
      <alignment horizontal="center" vertical="top" wrapText="1"/>
      <protection locked="0"/>
    </xf>
    <xf numFmtId="0" fontId="23" fillId="2" borderId="3" xfId="1" applyFont="1" applyFill="1" applyBorder="1" applyAlignment="1">
      <alignment horizontal="left"/>
    </xf>
    <xf numFmtId="0" fontId="23" fillId="2" borderId="10" xfId="1" applyFont="1" applyFill="1" applyBorder="1" applyAlignment="1">
      <alignment horizontal="left"/>
    </xf>
    <xf numFmtId="0" fontId="2" fillId="2" borderId="0" xfId="0" applyFont="1" applyFill="1" applyAlignment="1">
      <alignment horizontal="center" vertical="center"/>
    </xf>
  </cellXfs>
  <cellStyles count="7">
    <cellStyle name="Ênfase1" xfId="6" builtinId="29"/>
    <cellStyle name="Hiperlink" xfId="3" builtinId="8"/>
    <cellStyle name="Hyperlink" xfId="4" xr:uid="{BC0C63BB-E1A9-46A0-8CC6-75E2CCB81ACD}"/>
    <cellStyle name="Normal" xfId="0" builtinId="0"/>
    <cellStyle name="Normal 2" xfId="1" xr:uid="{7EB057BF-1C35-4C63-BFAA-0F71A4266434}"/>
    <cellStyle name="Normal 3" xfId="2" xr:uid="{BFD889B9-D5FE-4B96-8DFA-1F37F659DDC4}"/>
    <cellStyle name="Nota" xfId="5" builtinId="10"/>
  </cellStyles>
  <dxfs count="19">
    <dxf>
      <font>
        <b/>
        <i val="0"/>
      </font>
      <fill>
        <patternFill>
          <bgColor rgb="FF92D05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92D05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708</xdr:colOff>
      <xdr:row>2</xdr:row>
      <xdr:rowOff>518</xdr:rowOff>
    </xdr:from>
    <xdr:to>
      <xdr:col>5</xdr:col>
      <xdr:colOff>1385</xdr:colOff>
      <xdr:row>10</xdr:row>
      <xdr:rowOff>3988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35A41C-47ED-4B41-9B43-14255643C6D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241340" y="134202"/>
          <a:ext cx="1795387" cy="104954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449B9C-4062-42D6-A710-FBF34CE31C47}" name="Tabela3" displayName="Tabela3" ref="A1:E15" totalsRowShown="0" dataDxfId="18">
  <autoFilter ref="A1:E15" xr:uid="{D2449B9C-4062-42D6-A710-FBF34CE31C47}"/>
  <tableColumns count="5">
    <tableColumn id="1" xr3:uid="{420DCD24-2081-4B36-9BE2-4CD408B33561}" name="CATEGORY" dataDxfId="17"/>
    <tableColumn id="2" xr3:uid="{BF95DA13-7F31-42D6-A8C6-C14BF4F277A6}" name="PRODUCT" dataDxfId="16"/>
    <tableColumn id="3" xr3:uid="{054B4D8C-F195-4415-8AC2-2DBF42498738}" name="DESCRIPTION" dataDxfId="15"/>
    <tableColumn id="4" xr3:uid="{F0A2E612-3FAC-402D-8BEC-AF8C4E5AC5E2}" name="NCM" dataDxfId="14"/>
    <tableColumn id="5" xr3:uid="{3F995652-4164-48AB-A7D5-B2EFA7CD190D}" name="VALUE" dataDxfId="1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DC3DC1-317F-440A-857F-F3EA52C1984A}" name="Tabela4" displayName="Tabela4" ref="A1:A15" totalsRowShown="0" headerRowDxfId="12" dataDxfId="10" headerRowBorderDxfId="11" tableBorderDxfId="9" totalsRowBorderDxfId="8">
  <autoFilter ref="A1:A15" xr:uid="{61DC3DC1-317F-440A-857F-F3EA52C1984A}"/>
  <sortState xmlns:xlrd2="http://schemas.microsoft.com/office/spreadsheetml/2017/richdata2" ref="A2:A15">
    <sortCondition ref="A1:A15"/>
  </sortState>
  <tableColumns count="1">
    <tableColumn id="1" xr3:uid="{F3D968A7-42C0-4C2F-95F0-6EF3E03CB605}" name="UNIT" dataDxfId="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BB108A-1646-438C-A182-9B2A9115C80C}" name="SOLICITANTES" displayName="SOLICITANTES" ref="A1:B51" totalsRowShown="0" headerRowDxfId="6">
  <autoFilter ref="A1:B51" xr:uid="{72BB108A-1646-438C-A182-9B2A9115C80C}"/>
  <tableColumns count="2">
    <tableColumn id="1" xr3:uid="{83B48A69-6FD7-4FA1-8B5F-EAEB41BEFD86}" name="COMPRADORES "/>
    <tableColumn id="2" xr3:uid="{B1F55005-90BD-4470-8CC2-F5C25097FA57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ysClr val="window" lastClr="FFFFFF"/>
        </a:solidFill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ExternalLinkPath/xlPathMissing" Target="MODELO%20-%20SERVIC&#807;OS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claraf@eletronuclear.gov.br" TargetMode="External"/><Relationship Id="rId7" Type="http://schemas.openxmlformats.org/officeDocument/2006/relationships/hyperlink" Target="mailto:henrique.passos@marteengenharia.com.br" TargetMode="External"/><Relationship Id="rId2" Type="http://schemas.openxmlformats.org/officeDocument/2006/relationships/hyperlink" Target="mailto:gioliv@eletronuclear.gov.br" TargetMode="External"/><Relationship Id="rId1" Type="http://schemas.openxmlformats.org/officeDocument/2006/relationships/hyperlink" Target="mailto:vinicio@eletronuclear.gov.br" TargetMode="External"/><Relationship Id="rId6" Type="http://schemas.openxmlformats.org/officeDocument/2006/relationships/hyperlink" Target="mailto:jaquasc@eletronuclear.gov.br" TargetMode="External"/><Relationship Id="rId5" Type="http://schemas.openxmlformats.org/officeDocument/2006/relationships/hyperlink" Target="mailto:giselel@eletronuclear.gov.br" TargetMode="External"/><Relationship Id="rId4" Type="http://schemas.openxmlformats.org/officeDocument/2006/relationships/hyperlink" Target="mailto:alupey@eletronuclear.gov.br" TargetMode="Externa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aletrans.com.br/" TargetMode="External"/><Relationship Id="rId13" Type="http://schemas.openxmlformats.org/officeDocument/2006/relationships/hyperlink" Target="https://rmmaquinas.com.br/site/" TargetMode="External"/><Relationship Id="rId18" Type="http://schemas.openxmlformats.org/officeDocument/2006/relationships/hyperlink" Target="https://www.se.com/br/pt/all-products/" TargetMode="External"/><Relationship Id="rId3" Type="http://schemas.openxmlformats.org/officeDocument/2006/relationships/hyperlink" Target="https://www.votorantimcimentos.com.br/produtos/" TargetMode="External"/><Relationship Id="rId21" Type="http://schemas.openxmlformats.org/officeDocument/2006/relationships/hyperlink" Target="https://www.fixtil.com.br/produtos/" TargetMode="External"/><Relationship Id="rId7" Type="http://schemas.openxmlformats.org/officeDocument/2006/relationships/hyperlink" Target="https://intral.com.br/canais/" TargetMode="External"/><Relationship Id="rId12" Type="http://schemas.openxmlformats.org/officeDocument/2006/relationships/hyperlink" Target="https://www.corfio.com.br/pt/produtos" TargetMode="External"/><Relationship Id="rId17" Type="http://schemas.openxmlformats.org/officeDocument/2006/relationships/hyperlink" Target="https://www.steck.com.br/" TargetMode="External"/><Relationship Id="rId2" Type="http://schemas.openxmlformats.org/officeDocument/2006/relationships/hyperlink" Target="https://www.csn.com.br/homepage/cimentos/" TargetMode="External"/><Relationship Id="rId16" Type="http://schemas.openxmlformats.org/officeDocument/2006/relationships/hyperlink" Target="https://teadit.com/br/produto/na-1040/" TargetMode="External"/><Relationship Id="rId20" Type="http://schemas.openxmlformats.org/officeDocument/2006/relationships/hyperlink" Target="https://www.papaiz.com.br/pt/produtos" TargetMode="External"/><Relationship Id="rId1" Type="http://schemas.openxmlformats.org/officeDocument/2006/relationships/hyperlink" Target="https://www.intelli.com.br/produtos" TargetMode="External"/><Relationship Id="rId6" Type="http://schemas.openxmlformats.org/officeDocument/2006/relationships/hyperlink" Target="https://www.martinazzo.com.br/" TargetMode="External"/><Relationship Id="rId11" Type="http://schemas.openxmlformats.org/officeDocument/2006/relationships/hyperlink" Target="https://www.sil.com.br/catalogos/catalog/index.html" TargetMode="External"/><Relationship Id="rId5" Type="http://schemas.openxmlformats.org/officeDocument/2006/relationships/hyperlink" Target="https://rotta376.com.br/" TargetMode="External"/><Relationship Id="rId15" Type="http://schemas.openxmlformats.org/officeDocument/2006/relationships/hyperlink" Target="https://www.lubefercomercial.com.br/" TargetMode="External"/><Relationship Id="rId10" Type="http://schemas.openxmlformats.org/officeDocument/2006/relationships/hyperlink" Target="https://www.nexans.com.br/pt/products.html" TargetMode="External"/><Relationship Id="rId19" Type="http://schemas.openxmlformats.org/officeDocument/2006/relationships/hyperlink" Target="https://www.uniaomundial.com.br/produtos" TargetMode="External"/><Relationship Id="rId4" Type="http://schemas.openxmlformats.org/officeDocument/2006/relationships/hyperlink" Target="https://www.brinox.com.br/" TargetMode="External"/><Relationship Id="rId9" Type="http://schemas.openxmlformats.org/officeDocument/2006/relationships/hyperlink" Target="https://www.mercadopallet.com.br/?srsltid=AfmBOopI4wx3kJqBRlSOz4DFRyuCC9EdqhRTrGHZa4HFMxlhzGf36Vo3" TargetMode="External"/><Relationship Id="rId14" Type="http://schemas.openxmlformats.org/officeDocument/2006/relationships/hyperlink" Target="https://gazela.com.br/Produto/List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afer.com.br/" TargetMode="External"/><Relationship Id="rId2" Type="http://schemas.openxmlformats.org/officeDocument/2006/relationships/hyperlink" Target="https://www.multcomercial.com.br/" TargetMode="External"/><Relationship Id="rId1" Type="http://schemas.openxmlformats.org/officeDocument/2006/relationships/hyperlink" Target="https://www.dimensional.com.br/" TargetMode="External"/><Relationship Id="rId6" Type="http://schemas.openxmlformats.org/officeDocument/2006/relationships/hyperlink" Target="https://www.anhangueraferramentas.com.br/" TargetMode="External"/><Relationship Id="rId5" Type="http://schemas.openxmlformats.org/officeDocument/2006/relationships/hyperlink" Target="https://www.lojacasadosreles.com.br/" TargetMode="External"/><Relationship Id="rId4" Type="http://schemas.openxmlformats.org/officeDocument/2006/relationships/hyperlink" Target="https://www.santil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P51"/>
  <sheetViews>
    <sheetView showGridLines="0" tabSelected="1" zoomScaleNormal="100" zoomScaleSheetLayoutView="40" workbookViewId="0">
      <selection activeCell="G27" sqref="G27"/>
    </sheetView>
  </sheetViews>
  <sheetFormatPr defaultColWidth="8.6640625" defaultRowHeight="14.4"/>
  <cols>
    <col min="1" max="1" width="3.6640625" style="3" customWidth="1"/>
    <col min="2" max="2" width="2.6640625" style="3" customWidth="1"/>
    <col min="3" max="3" width="9.6640625" style="3" customWidth="1"/>
    <col min="4" max="4" width="8.44140625" style="3" customWidth="1"/>
    <col min="5" max="5" width="12.109375" style="3" bestFit="1" customWidth="1"/>
    <col min="6" max="6" width="10.88671875" style="49" customWidth="1"/>
    <col min="7" max="7" width="91" style="4" customWidth="1"/>
    <col min="8" max="8" width="14.88671875" style="4" bestFit="1" customWidth="1"/>
    <col min="9" max="9" width="18" style="3" customWidth="1"/>
    <col min="10" max="10" width="2.6640625" style="3" customWidth="1"/>
    <col min="11" max="12" width="4.21875" style="3" customWidth="1"/>
    <col min="13" max="13" width="3.5546875" style="3" customWidth="1"/>
    <col min="14" max="14" width="147" style="3" customWidth="1"/>
    <col min="15" max="16384" width="8.6640625" style="3"/>
  </cols>
  <sheetData>
    <row r="1" spans="2:16" ht="9.6" customHeight="1" thickBot="1"/>
    <row r="2" spans="2:16" ht="10.5" customHeight="1" thickBot="1">
      <c r="B2" s="6"/>
      <c r="C2" s="7"/>
      <c r="D2" s="7"/>
      <c r="E2" s="7"/>
      <c r="F2" s="50"/>
      <c r="G2" s="8"/>
      <c r="H2" s="8"/>
      <c r="I2" s="7"/>
      <c r="J2" s="38"/>
      <c r="K2" s="1"/>
      <c r="L2" s="1"/>
    </row>
    <row r="3" spans="2:16" ht="14.1" customHeight="1">
      <c r="B3" s="86"/>
      <c r="C3" s="98"/>
      <c r="D3" s="99"/>
      <c r="E3" s="99"/>
      <c r="F3" s="87" t="s">
        <v>5</v>
      </c>
      <c r="G3" s="87"/>
      <c r="H3" s="87"/>
      <c r="I3" s="94" t="s">
        <v>27</v>
      </c>
      <c r="J3" s="39"/>
      <c r="K3" s="1"/>
      <c r="L3" s="1"/>
    </row>
    <row r="4" spans="2:16" ht="14.1" customHeight="1">
      <c r="B4" s="86"/>
      <c r="C4" s="100"/>
      <c r="D4" s="101"/>
      <c r="E4" s="101"/>
      <c r="F4" s="76" t="s">
        <v>0</v>
      </c>
      <c r="G4" s="76"/>
      <c r="H4" s="76"/>
      <c r="I4" s="95"/>
      <c r="J4" s="39"/>
      <c r="K4" s="1"/>
      <c r="L4" s="1"/>
    </row>
    <row r="5" spans="2:16" ht="14.1" customHeight="1">
      <c r="B5" s="86"/>
      <c r="C5" s="100"/>
      <c r="D5" s="101"/>
      <c r="E5" s="101"/>
      <c r="F5" s="76" t="s">
        <v>1</v>
      </c>
      <c r="G5" s="76"/>
      <c r="H5" s="76"/>
      <c r="I5" s="95"/>
      <c r="J5" s="93"/>
      <c r="K5" s="40"/>
      <c r="L5" s="40"/>
    </row>
    <row r="6" spans="2:16" ht="14.1" customHeight="1">
      <c r="B6" s="86"/>
      <c r="C6" s="100"/>
      <c r="D6" s="101"/>
      <c r="E6" s="101"/>
      <c r="F6" s="76" t="s">
        <v>2</v>
      </c>
      <c r="G6" s="76"/>
      <c r="H6" s="76"/>
      <c r="I6" s="96" t="s">
        <v>115</v>
      </c>
      <c r="J6" s="93"/>
      <c r="K6" s="40"/>
      <c r="L6" s="40"/>
    </row>
    <row r="7" spans="2:16" s="2" customFormat="1" ht="6" customHeight="1">
      <c r="B7" s="86"/>
      <c r="C7" s="100"/>
      <c r="D7" s="101"/>
      <c r="E7" s="101"/>
      <c r="F7" s="48"/>
      <c r="G7" s="24"/>
      <c r="H7" s="24"/>
      <c r="I7" s="96"/>
      <c r="J7" s="93"/>
      <c r="K7" s="1"/>
      <c r="L7" s="1"/>
      <c r="N7" s="3"/>
    </row>
    <row r="8" spans="2:16" ht="14.1" customHeight="1">
      <c r="B8" s="86"/>
      <c r="C8" s="100"/>
      <c r="D8" s="101"/>
      <c r="E8" s="101"/>
      <c r="F8" s="106" t="s">
        <v>3</v>
      </c>
      <c r="G8" s="107"/>
      <c r="H8" s="107"/>
      <c r="I8" s="96"/>
      <c r="J8" s="93"/>
      <c r="K8" s="40"/>
      <c r="L8" s="40"/>
    </row>
    <row r="9" spans="2:16" ht="14.1" customHeight="1">
      <c r="B9" s="86"/>
      <c r="C9" s="100"/>
      <c r="D9" s="101"/>
      <c r="E9" s="101"/>
      <c r="F9" s="76" t="s">
        <v>42</v>
      </c>
      <c r="G9" s="76"/>
      <c r="H9" s="76"/>
      <c r="I9" s="104">
        <f ca="1">NOW()</f>
        <v>45876.56417928241</v>
      </c>
      <c r="J9" s="93"/>
      <c r="K9" s="40"/>
      <c r="L9" s="40"/>
    </row>
    <row r="10" spans="2:16" ht="14.1" customHeight="1" thickBot="1">
      <c r="B10" s="86"/>
      <c r="C10" s="102"/>
      <c r="D10" s="103"/>
      <c r="E10" s="103"/>
      <c r="F10" s="76" t="s">
        <v>4</v>
      </c>
      <c r="G10" s="76"/>
      <c r="H10" s="76"/>
      <c r="I10" s="105"/>
      <c r="J10" s="39"/>
      <c r="K10" s="1"/>
      <c r="L10" s="1"/>
    </row>
    <row r="11" spans="2:16" s="2" customFormat="1" ht="8.25" customHeight="1">
      <c r="B11" s="78"/>
      <c r="C11" s="79"/>
      <c r="D11" s="79"/>
      <c r="E11" s="79"/>
      <c r="F11" s="79"/>
      <c r="G11" s="79"/>
      <c r="H11" s="79"/>
      <c r="I11" s="79"/>
      <c r="J11" s="39"/>
      <c r="K11" s="1"/>
      <c r="L11" s="1"/>
      <c r="N11" s="3"/>
    </row>
    <row r="12" spans="2:16" ht="14.1" customHeight="1">
      <c r="B12" s="9"/>
      <c r="C12" s="77" t="s">
        <v>11</v>
      </c>
      <c r="D12" s="77"/>
      <c r="E12" s="76" t="s">
        <v>16</v>
      </c>
      <c r="F12" s="76"/>
      <c r="G12" s="76"/>
      <c r="H12" s="76"/>
      <c r="I12" s="76"/>
      <c r="J12" s="39"/>
      <c r="K12" s="1"/>
      <c r="L12" s="1"/>
    </row>
    <row r="13" spans="2:16" ht="14.1" customHeight="1">
      <c r="B13" s="9"/>
      <c r="C13" s="77" t="s">
        <v>12</v>
      </c>
      <c r="D13" s="77"/>
      <c r="E13" s="80" t="str">
        <f>I6</f>
        <v>DADOS DA COTAÇÃO</v>
      </c>
      <c r="F13" s="80"/>
      <c r="G13" s="80"/>
      <c r="H13" s="80"/>
      <c r="I13" s="80"/>
      <c r="J13" s="39"/>
      <c r="K13" s="1"/>
      <c r="L13" s="1"/>
    </row>
    <row r="14" spans="2:16" ht="14.1" customHeight="1">
      <c r="B14" s="9"/>
      <c r="C14" s="77" t="s">
        <v>13</v>
      </c>
      <c r="D14" s="77"/>
      <c r="E14" s="76" t="s">
        <v>108</v>
      </c>
      <c r="F14" s="76"/>
      <c r="G14" s="76"/>
      <c r="H14" s="76"/>
      <c r="I14" s="76"/>
      <c r="J14" s="39"/>
      <c r="K14" s="1"/>
      <c r="L14" s="1"/>
    </row>
    <row r="15" spans="2:16" ht="14.1" customHeight="1">
      <c r="B15" s="9"/>
      <c r="C15" s="83" t="s">
        <v>14</v>
      </c>
      <c r="D15" s="83"/>
      <c r="E15" s="81" t="s">
        <v>99</v>
      </c>
      <c r="F15" s="81"/>
      <c r="G15" s="81"/>
      <c r="H15" s="81"/>
      <c r="I15" s="81"/>
      <c r="J15" s="39"/>
      <c r="K15" s="1"/>
      <c r="L15" s="1"/>
    </row>
    <row r="16" spans="2:16" ht="14.1" customHeight="1">
      <c r="B16" s="9"/>
      <c r="C16" s="91" t="s">
        <v>15</v>
      </c>
      <c r="D16" s="92"/>
      <c r="E16" s="82" t="str">
        <f>VLOOKUP(E15,SOLICITANTES[],2,FALSE)</f>
        <v>lmendes@eletronuclear.gov.br</v>
      </c>
      <c r="F16" s="82"/>
      <c r="G16" s="82"/>
      <c r="H16" s="82"/>
      <c r="I16" s="82"/>
      <c r="J16" s="39"/>
      <c r="K16" s="1"/>
      <c r="L16" s="1"/>
      <c r="N16" s="41"/>
      <c r="O16" s="72"/>
      <c r="P16" s="72"/>
    </row>
    <row r="17" spans="2:16" s="2" customFormat="1" ht="6" customHeight="1">
      <c r="B17" s="10"/>
      <c r="C17" s="11"/>
      <c r="D17" s="11"/>
      <c r="E17" s="11"/>
      <c r="F17" s="48"/>
      <c r="G17" s="24"/>
      <c r="H17" s="24"/>
      <c r="I17" s="11"/>
      <c r="J17" s="39"/>
      <c r="K17" s="1"/>
      <c r="L17" s="1"/>
    </row>
    <row r="18" spans="2:16" ht="15.6">
      <c r="B18" s="5"/>
      <c r="C18" s="23" t="s">
        <v>6</v>
      </c>
      <c r="D18" s="23" t="s">
        <v>7</v>
      </c>
      <c r="E18" s="23" t="s">
        <v>20</v>
      </c>
      <c r="F18" s="23" t="s">
        <v>8</v>
      </c>
      <c r="G18" s="23" t="s">
        <v>9</v>
      </c>
      <c r="H18" s="23" t="s">
        <v>10</v>
      </c>
      <c r="I18" s="23" t="s">
        <v>39</v>
      </c>
      <c r="J18" s="39"/>
      <c r="K18" s="1"/>
      <c r="L18" s="1"/>
      <c r="N18" s="68" t="s">
        <v>166</v>
      </c>
      <c r="O18" s="72"/>
      <c r="P18" s="72"/>
    </row>
    <row r="19" spans="2:16">
      <c r="B19" s="5"/>
      <c r="C19" s="25">
        <v>1</v>
      </c>
      <c r="D19" s="26" t="s">
        <v>122</v>
      </c>
      <c r="E19" s="27">
        <v>0</v>
      </c>
      <c r="F19" s="70" t="str">
        <f>IFERROR(VLOOKUP(G19,BASE!B$3:D$15,3,0),"")</f>
        <v/>
      </c>
      <c r="G19" s="46"/>
      <c r="H19" s="28">
        <f>IFERROR(VLOOKUP(G19,BASE!B$3:E$15,4,0),0)</f>
        <v>0</v>
      </c>
      <c r="I19" s="45">
        <f>IFERROR(H19*E19,0)</f>
        <v>0</v>
      </c>
      <c r="J19" s="39"/>
      <c r="K19" s="1"/>
      <c r="L19" s="108" t="str">
        <f>IF(AND(D19&lt;&gt;"-", E19&lt;&gt;0, F19&lt;&gt;""), "OK", "")</f>
        <v/>
      </c>
      <c r="N19" s="69" t="str">
        <f>IFERROR(VLOOKUP(G19,BASE!B3:C15,2,0),"")</f>
        <v/>
      </c>
      <c r="O19" s="42"/>
      <c r="P19" s="42"/>
    </row>
    <row r="20" spans="2:16">
      <c r="B20" s="5"/>
      <c r="C20" s="25">
        <v>2</v>
      </c>
      <c r="D20" s="26" t="s">
        <v>122</v>
      </c>
      <c r="E20" s="27">
        <v>0</v>
      </c>
      <c r="F20" s="70" t="str">
        <f>IFERROR(VLOOKUP(G20,BASE!B$3:D$15,3,0),"")</f>
        <v/>
      </c>
      <c r="G20" s="46"/>
      <c r="H20" s="28">
        <f>IFERROR(VLOOKUP(G20,BASE!B$3:E$15,4,0),0)</f>
        <v>0</v>
      </c>
      <c r="I20" s="45">
        <f t="shared" ref="I20:I42" si="0">IFERROR(H20*E20,0)</f>
        <v>0</v>
      </c>
      <c r="J20" s="39"/>
      <c r="K20" s="1"/>
      <c r="L20" s="108" t="str">
        <f t="shared" ref="L20:L42" si="1">IF(AND(D20&lt;&gt;"-", E20&lt;&gt;0, F20&lt;&gt;""), "OK", "")</f>
        <v/>
      </c>
      <c r="N20" s="69" t="str">
        <f>IFERROR(VLOOKUP(G20,BASE!B4:C16,2,0),"")</f>
        <v/>
      </c>
      <c r="O20" s="42"/>
      <c r="P20" s="42"/>
    </row>
    <row r="21" spans="2:16">
      <c r="B21" s="5"/>
      <c r="C21" s="25">
        <v>3</v>
      </c>
      <c r="D21" s="26" t="s">
        <v>122</v>
      </c>
      <c r="E21" s="27">
        <v>0</v>
      </c>
      <c r="F21" s="70" t="str">
        <f>IFERROR(VLOOKUP(G21,BASE!B$3:D$15,3,0),"")</f>
        <v/>
      </c>
      <c r="G21" s="46"/>
      <c r="H21" s="28">
        <f>IFERROR(VLOOKUP(G21,BASE!B$3:E$15,4,0),0)</f>
        <v>0</v>
      </c>
      <c r="I21" s="45">
        <f t="shared" si="0"/>
        <v>0</v>
      </c>
      <c r="J21" s="39"/>
      <c r="K21" s="1"/>
      <c r="L21" s="108" t="str">
        <f t="shared" si="1"/>
        <v/>
      </c>
      <c r="N21" s="69" t="str">
        <f>IFERROR(VLOOKUP(G21,BASE!B5:C17,2,0),"")</f>
        <v/>
      </c>
      <c r="O21" s="42"/>
      <c r="P21" s="42"/>
    </row>
    <row r="22" spans="2:16">
      <c r="B22" s="5"/>
      <c r="C22" s="25">
        <v>4</v>
      </c>
      <c r="D22" s="26" t="s">
        <v>122</v>
      </c>
      <c r="E22" s="27">
        <v>0</v>
      </c>
      <c r="F22" s="70" t="str">
        <f>IFERROR(VLOOKUP(G22,BASE!B$3:D$15,3,0),"")</f>
        <v/>
      </c>
      <c r="G22" s="46"/>
      <c r="H22" s="28">
        <f>IFERROR(VLOOKUP(G22,BASE!B$3:E$15,4,0),0)</f>
        <v>0</v>
      </c>
      <c r="I22" s="45">
        <f t="shared" si="0"/>
        <v>0</v>
      </c>
      <c r="J22" s="39"/>
      <c r="K22" s="1"/>
      <c r="L22" s="108" t="str">
        <f t="shared" si="1"/>
        <v/>
      </c>
      <c r="N22" s="69" t="str">
        <f>IFERROR(VLOOKUP(G22,BASE!B6:C18,2,0),"")</f>
        <v/>
      </c>
      <c r="O22" s="42"/>
      <c r="P22" s="42"/>
    </row>
    <row r="23" spans="2:16">
      <c r="B23" s="5"/>
      <c r="C23" s="25">
        <v>5</v>
      </c>
      <c r="D23" s="26" t="s">
        <v>122</v>
      </c>
      <c r="E23" s="27">
        <v>0</v>
      </c>
      <c r="F23" s="70" t="str">
        <f>IFERROR(VLOOKUP(G23,BASE!B$3:D$15,3,0),"")</f>
        <v/>
      </c>
      <c r="G23" s="46"/>
      <c r="H23" s="28">
        <f>IFERROR(VLOOKUP(G23,BASE!B$3:E$15,4,0),0)</f>
        <v>0</v>
      </c>
      <c r="I23" s="45">
        <f t="shared" si="0"/>
        <v>0</v>
      </c>
      <c r="J23" s="39"/>
      <c r="K23" s="1"/>
      <c r="L23" s="108" t="str">
        <f t="shared" si="1"/>
        <v/>
      </c>
      <c r="N23" s="69" t="str">
        <f>IFERROR(VLOOKUP(G23,BASE!B7:C19,2,0),"")</f>
        <v/>
      </c>
      <c r="O23" s="42"/>
      <c r="P23" s="42"/>
    </row>
    <row r="24" spans="2:16">
      <c r="B24" s="5"/>
      <c r="C24" s="25">
        <v>6</v>
      </c>
      <c r="D24" s="26" t="s">
        <v>122</v>
      </c>
      <c r="E24" s="27">
        <v>0</v>
      </c>
      <c r="F24" s="70" t="str">
        <f>IFERROR(VLOOKUP(G24,BASE!B$3:D$15,3,0),"")</f>
        <v/>
      </c>
      <c r="G24" s="46"/>
      <c r="H24" s="28">
        <f>IFERROR(VLOOKUP(G24,BASE!B$3:E$15,4,0),0)</f>
        <v>0</v>
      </c>
      <c r="I24" s="45">
        <f t="shared" si="0"/>
        <v>0</v>
      </c>
      <c r="J24" s="39"/>
      <c r="K24" s="1"/>
      <c r="L24" s="108" t="str">
        <f t="shared" si="1"/>
        <v/>
      </c>
      <c r="N24" s="69" t="str">
        <f>IFERROR(VLOOKUP(G24,BASE!B8:C20,2,0),"")</f>
        <v/>
      </c>
      <c r="O24" s="42"/>
      <c r="P24" s="42"/>
    </row>
    <row r="25" spans="2:16">
      <c r="B25" s="5"/>
      <c r="C25" s="25">
        <v>7</v>
      </c>
      <c r="D25" s="26" t="s">
        <v>122</v>
      </c>
      <c r="E25" s="27">
        <v>0</v>
      </c>
      <c r="F25" s="70" t="str">
        <f>IFERROR(VLOOKUP(G25,BASE!B$3:D$15,3,0),"")</f>
        <v/>
      </c>
      <c r="G25" s="46"/>
      <c r="H25" s="28">
        <f>IFERROR(VLOOKUP(G25,BASE!B$3:E$15,4,0),0)</f>
        <v>0</v>
      </c>
      <c r="I25" s="45">
        <f t="shared" si="0"/>
        <v>0</v>
      </c>
      <c r="J25" s="39"/>
      <c r="K25" s="1"/>
      <c r="L25" s="108" t="str">
        <f t="shared" si="1"/>
        <v/>
      </c>
      <c r="N25" s="69" t="str">
        <f>IFERROR(VLOOKUP(G25,BASE!B9:C21,2,0),"")</f>
        <v/>
      </c>
      <c r="O25" s="42"/>
      <c r="P25" s="42"/>
    </row>
    <row r="26" spans="2:16">
      <c r="B26" s="5"/>
      <c r="C26" s="25">
        <v>8</v>
      </c>
      <c r="D26" s="26" t="s">
        <v>122</v>
      </c>
      <c r="E26" s="27">
        <v>0</v>
      </c>
      <c r="F26" s="70" t="str">
        <f>IFERROR(VLOOKUP(G26,BASE!B$3:D$15,3,0),"")</f>
        <v/>
      </c>
      <c r="G26" s="46"/>
      <c r="H26" s="28">
        <f>IFERROR(VLOOKUP(G26,BASE!B$3:E$15,4,0),0)</f>
        <v>0</v>
      </c>
      <c r="I26" s="45">
        <f t="shared" si="0"/>
        <v>0</v>
      </c>
      <c r="J26" s="39"/>
      <c r="K26" s="1"/>
      <c r="L26" s="108" t="str">
        <f t="shared" si="1"/>
        <v/>
      </c>
      <c r="N26" s="69" t="str">
        <f>IFERROR(VLOOKUP(G26,BASE!B10:C22,2,0),"")</f>
        <v/>
      </c>
      <c r="O26" s="42"/>
      <c r="P26" s="42"/>
    </row>
    <row r="27" spans="2:16">
      <c r="B27" s="5"/>
      <c r="C27" s="25">
        <v>9</v>
      </c>
      <c r="D27" s="26" t="s">
        <v>122</v>
      </c>
      <c r="E27" s="27">
        <v>0</v>
      </c>
      <c r="F27" s="70" t="str">
        <f>IFERROR(VLOOKUP(G27,BASE!B$3:D$15,3,0),"")</f>
        <v/>
      </c>
      <c r="G27" s="46"/>
      <c r="H27" s="28">
        <f>IFERROR(VLOOKUP(G27,BASE!B$3:E$15,4,0),0)</f>
        <v>0</v>
      </c>
      <c r="I27" s="45">
        <f t="shared" si="0"/>
        <v>0</v>
      </c>
      <c r="J27" s="39"/>
      <c r="K27" s="1"/>
      <c r="L27" s="108" t="str">
        <f t="shared" si="1"/>
        <v/>
      </c>
      <c r="N27" s="69" t="str">
        <f>IFERROR(VLOOKUP(G27,BASE!B11:C23,2,0),"")</f>
        <v/>
      </c>
      <c r="O27" s="42"/>
      <c r="P27" s="42"/>
    </row>
    <row r="28" spans="2:16">
      <c r="B28" s="5"/>
      <c r="C28" s="25">
        <v>10</v>
      </c>
      <c r="D28" s="26" t="s">
        <v>122</v>
      </c>
      <c r="E28" s="27">
        <v>0</v>
      </c>
      <c r="F28" s="70" t="str">
        <f>IFERROR(VLOOKUP(G28,BASE!B$3:D$15,3,0),"")</f>
        <v/>
      </c>
      <c r="G28" s="46"/>
      <c r="H28" s="28">
        <f>IFERROR(VLOOKUP(G28,BASE!B$3:E$15,4,0),0)</f>
        <v>0</v>
      </c>
      <c r="I28" s="45">
        <f t="shared" si="0"/>
        <v>0</v>
      </c>
      <c r="J28" s="39"/>
      <c r="K28" s="1"/>
      <c r="L28" s="108" t="str">
        <f t="shared" si="1"/>
        <v/>
      </c>
      <c r="N28" s="69" t="str">
        <f>IFERROR(VLOOKUP(G28,BASE!B12:C24,2,0),"")</f>
        <v/>
      </c>
      <c r="O28" s="42"/>
      <c r="P28" s="42"/>
    </row>
    <row r="29" spans="2:16">
      <c r="B29" s="5"/>
      <c r="C29" s="25">
        <v>11</v>
      </c>
      <c r="D29" s="26" t="s">
        <v>122</v>
      </c>
      <c r="E29" s="27">
        <v>0</v>
      </c>
      <c r="F29" s="70" t="str">
        <f>IFERROR(VLOOKUP(G29,BASE!B$3:D$15,3,0),"")</f>
        <v/>
      </c>
      <c r="G29" s="46"/>
      <c r="H29" s="28">
        <f>IFERROR(VLOOKUP(G29,BASE!B$3:E$15,4,0),0)</f>
        <v>0</v>
      </c>
      <c r="I29" s="45">
        <f t="shared" si="0"/>
        <v>0</v>
      </c>
      <c r="J29" s="39"/>
      <c r="K29" s="1"/>
      <c r="L29" s="108" t="str">
        <f t="shared" si="1"/>
        <v/>
      </c>
      <c r="N29" s="69" t="str">
        <f>IFERROR(VLOOKUP(G29,BASE!B13:C25,2,0),"")</f>
        <v/>
      </c>
      <c r="O29" s="42"/>
      <c r="P29" s="42"/>
    </row>
    <row r="30" spans="2:16">
      <c r="B30" s="5"/>
      <c r="C30" s="25">
        <v>12</v>
      </c>
      <c r="D30" s="26" t="s">
        <v>122</v>
      </c>
      <c r="E30" s="27">
        <v>0</v>
      </c>
      <c r="F30" s="70" t="str">
        <f>IFERROR(VLOOKUP(G30,BASE!B$3:D$15,3,0),"")</f>
        <v/>
      </c>
      <c r="G30" s="46"/>
      <c r="H30" s="28">
        <f>IFERROR(VLOOKUP(G30,BASE!B$3:E$15,4,0),0)</f>
        <v>0</v>
      </c>
      <c r="I30" s="45">
        <f t="shared" si="0"/>
        <v>0</v>
      </c>
      <c r="J30" s="39"/>
      <c r="K30" s="1"/>
      <c r="L30" s="108" t="str">
        <f t="shared" si="1"/>
        <v/>
      </c>
      <c r="N30" s="69" t="str">
        <f>IFERROR(VLOOKUP(G30,BASE!B14:C26,2,0),"")</f>
        <v/>
      </c>
      <c r="O30" s="42"/>
      <c r="P30" s="42"/>
    </row>
    <row r="31" spans="2:16">
      <c r="B31" s="5"/>
      <c r="C31" s="25">
        <v>13</v>
      </c>
      <c r="D31" s="26" t="s">
        <v>122</v>
      </c>
      <c r="E31" s="27">
        <v>0</v>
      </c>
      <c r="F31" s="70" t="str">
        <f>IFERROR(VLOOKUP(G31,BASE!B$3:D$15,3,0),"")</f>
        <v/>
      </c>
      <c r="G31" s="46"/>
      <c r="H31" s="28">
        <f>IFERROR(VLOOKUP(G31,BASE!B$3:E$15,4,0),0)</f>
        <v>0</v>
      </c>
      <c r="I31" s="45">
        <f t="shared" si="0"/>
        <v>0</v>
      </c>
      <c r="J31" s="39"/>
      <c r="K31" s="1"/>
      <c r="L31" s="108" t="str">
        <f t="shared" si="1"/>
        <v/>
      </c>
      <c r="N31" s="69" t="str">
        <f>IFERROR(VLOOKUP(G31,BASE!B15:C27,2,0),"")</f>
        <v/>
      </c>
      <c r="O31" s="42"/>
      <c r="P31" s="42"/>
    </row>
    <row r="32" spans="2:16">
      <c r="B32" s="5"/>
      <c r="C32" s="25">
        <v>14</v>
      </c>
      <c r="D32" s="26" t="s">
        <v>122</v>
      </c>
      <c r="E32" s="27">
        <v>0</v>
      </c>
      <c r="F32" s="70" t="str">
        <f>IFERROR(VLOOKUP(G32,BASE!B$3:D$15,3,0),"")</f>
        <v/>
      </c>
      <c r="G32" s="46"/>
      <c r="H32" s="28">
        <f>IFERROR(VLOOKUP(G32,BASE!B$3:E$15,4,0),0)</f>
        <v>0</v>
      </c>
      <c r="I32" s="45">
        <f t="shared" si="0"/>
        <v>0</v>
      </c>
      <c r="J32" s="39"/>
      <c r="K32" s="1"/>
      <c r="L32" s="108" t="str">
        <f t="shared" si="1"/>
        <v/>
      </c>
      <c r="N32" s="69" t="str">
        <f>IFERROR(VLOOKUP(G32,BASE!B16:C28,2,0),"")</f>
        <v/>
      </c>
      <c r="O32" s="42"/>
      <c r="P32" s="42"/>
    </row>
    <row r="33" spans="2:16">
      <c r="B33" s="5"/>
      <c r="C33" s="25">
        <v>15</v>
      </c>
      <c r="D33" s="26" t="s">
        <v>122</v>
      </c>
      <c r="E33" s="27">
        <v>0</v>
      </c>
      <c r="F33" s="70" t="str">
        <f>IFERROR(VLOOKUP(G33,BASE!B$3:D$15,3,0),"")</f>
        <v/>
      </c>
      <c r="G33" s="46"/>
      <c r="H33" s="28">
        <f>IFERROR(VLOOKUP(G33,BASE!B$3:E$15,4,0),0)</f>
        <v>0</v>
      </c>
      <c r="I33" s="45">
        <f t="shared" si="0"/>
        <v>0</v>
      </c>
      <c r="J33" s="39"/>
      <c r="K33" s="1"/>
      <c r="L33" s="108" t="str">
        <f t="shared" si="1"/>
        <v/>
      </c>
      <c r="N33" s="69" t="str">
        <f>IFERROR(VLOOKUP(G33,BASE!B17:C29,2,0),"")</f>
        <v/>
      </c>
      <c r="O33" s="42"/>
      <c r="P33" s="42"/>
    </row>
    <row r="34" spans="2:16">
      <c r="B34" s="5"/>
      <c r="C34" s="25">
        <v>16</v>
      </c>
      <c r="D34" s="26" t="s">
        <v>122</v>
      </c>
      <c r="E34" s="27">
        <v>0</v>
      </c>
      <c r="F34" s="70" t="str">
        <f>IFERROR(VLOOKUP(G34,BASE!B$3:D$15,3,0),"")</f>
        <v/>
      </c>
      <c r="G34" s="46"/>
      <c r="H34" s="28">
        <f>IFERROR(VLOOKUP(G34,BASE!B$3:E$15,4,0),0)</f>
        <v>0</v>
      </c>
      <c r="I34" s="45">
        <f t="shared" si="0"/>
        <v>0</v>
      </c>
      <c r="J34" s="39"/>
      <c r="K34" s="1"/>
      <c r="L34" s="108" t="str">
        <f t="shared" si="1"/>
        <v/>
      </c>
      <c r="N34" s="69" t="str">
        <f>IFERROR(VLOOKUP(G34,BASE!B18:C30,2,0),"")</f>
        <v/>
      </c>
      <c r="O34" s="42"/>
      <c r="P34" s="42"/>
    </row>
    <row r="35" spans="2:16">
      <c r="B35" s="5"/>
      <c r="C35" s="25">
        <v>17</v>
      </c>
      <c r="D35" s="26" t="s">
        <v>122</v>
      </c>
      <c r="E35" s="27">
        <v>0</v>
      </c>
      <c r="F35" s="70" t="str">
        <f>IFERROR(VLOOKUP(G35,BASE!B$3:D$15,3,0),"")</f>
        <v/>
      </c>
      <c r="G35" s="46"/>
      <c r="H35" s="28">
        <f>IFERROR(VLOOKUP(G35,BASE!B$3:E$15,4,0),0)</f>
        <v>0</v>
      </c>
      <c r="I35" s="45">
        <f t="shared" si="0"/>
        <v>0</v>
      </c>
      <c r="J35" s="39"/>
      <c r="K35" s="1"/>
      <c r="L35" s="108" t="str">
        <f t="shared" si="1"/>
        <v/>
      </c>
      <c r="N35" s="69" t="str">
        <f>IFERROR(VLOOKUP(G35,BASE!B19:C31,2,0),"")</f>
        <v/>
      </c>
      <c r="O35" s="42"/>
      <c r="P35" s="42"/>
    </row>
    <row r="36" spans="2:16">
      <c r="B36" s="5"/>
      <c r="C36" s="25">
        <v>18</v>
      </c>
      <c r="D36" s="26" t="s">
        <v>122</v>
      </c>
      <c r="E36" s="27">
        <v>0</v>
      </c>
      <c r="F36" s="70" t="str">
        <f>IFERROR(VLOOKUP(G36,BASE!B$3:D$15,3,0),"")</f>
        <v/>
      </c>
      <c r="G36" s="46"/>
      <c r="H36" s="28">
        <f>IFERROR(VLOOKUP(G36,BASE!B$3:E$15,4,0),0)</f>
        <v>0</v>
      </c>
      <c r="I36" s="45">
        <f t="shared" si="0"/>
        <v>0</v>
      </c>
      <c r="J36" s="39"/>
      <c r="K36" s="1"/>
      <c r="L36" s="108" t="str">
        <f t="shared" si="1"/>
        <v/>
      </c>
      <c r="N36" s="69" t="str">
        <f>IFERROR(VLOOKUP(G36,BASE!B20:C32,2,0),"")</f>
        <v/>
      </c>
      <c r="O36" s="42"/>
      <c r="P36" s="42"/>
    </row>
    <row r="37" spans="2:16">
      <c r="B37" s="5"/>
      <c r="C37" s="25">
        <v>19</v>
      </c>
      <c r="D37" s="26" t="s">
        <v>122</v>
      </c>
      <c r="E37" s="27">
        <v>0</v>
      </c>
      <c r="F37" s="70" t="str">
        <f>IFERROR(VLOOKUP(G37,BASE!B$3:D$15,3,0),"")</f>
        <v/>
      </c>
      <c r="G37" s="46"/>
      <c r="H37" s="28">
        <f>IFERROR(VLOOKUP(G37,BASE!B$3:E$15,4,0),0)</f>
        <v>0</v>
      </c>
      <c r="I37" s="45">
        <f t="shared" si="0"/>
        <v>0</v>
      </c>
      <c r="J37" s="39"/>
      <c r="K37" s="1"/>
      <c r="L37" s="108" t="str">
        <f t="shared" si="1"/>
        <v/>
      </c>
      <c r="N37" s="69" t="str">
        <f>IFERROR(VLOOKUP(G37,BASE!B21:C33,2,0),"")</f>
        <v/>
      </c>
      <c r="O37" s="42"/>
      <c r="P37" s="42"/>
    </row>
    <row r="38" spans="2:16">
      <c r="B38" s="5"/>
      <c r="C38" s="25">
        <v>20</v>
      </c>
      <c r="D38" s="26" t="s">
        <v>122</v>
      </c>
      <c r="E38" s="27">
        <v>0</v>
      </c>
      <c r="F38" s="70" t="str">
        <f>IFERROR(VLOOKUP(G38,BASE!B$3:D$15,3,0),"")</f>
        <v/>
      </c>
      <c r="G38" s="46"/>
      <c r="H38" s="28">
        <f>IFERROR(VLOOKUP(G38,BASE!B$3:E$15,4,0),0)</f>
        <v>0</v>
      </c>
      <c r="I38" s="45">
        <f t="shared" si="0"/>
        <v>0</v>
      </c>
      <c r="J38" s="39"/>
      <c r="K38" s="1"/>
      <c r="L38" s="108" t="str">
        <f t="shared" si="1"/>
        <v/>
      </c>
      <c r="N38" s="69" t="str">
        <f>IFERROR(VLOOKUP(G38,BASE!B22:C34,2,0),"")</f>
        <v/>
      </c>
      <c r="O38" s="42"/>
      <c r="P38" s="42"/>
    </row>
    <row r="39" spans="2:16">
      <c r="B39" s="5"/>
      <c r="C39" s="25">
        <v>21</v>
      </c>
      <c r="D39" s="26" t="s">
        <v>122</v>
      </c>
      <c r="E39" s="27">
        <v>0</v>
      </c>
      <c r="F39" s="70" t="str">
        <f>IFERROR(VLOOKUP(G39,BASE!B$3:D$15,3,0),"")</f>
        <v/>
      </c>
      <c r="G39" s="46"/>
      <c r="H39" s="28">
        <f>IFERROR(VLOOKUP(G39,BASE!B$3:E$15,4,0),0)</f>
        <v>0</v>
      </c>
      <c r="I39" s="45">
        <f t="shared" si="0"/>
        <v>0</v>
      </c>
      <c r="J39" s="39"/>
      <c r="K39" s="1"/>
      <c r="L39" s="108" t="str">
        <f t="shared" si="1"/>
        <v/>
      </c>
      <c r="N39" s="69" t="str">
        <f>IFERROR(VLOOKUP(G39,BASE!B23:C35,2,0),"")</f>
        <v/>
      </c>
      <c r="O39" s="42"/>
      <c r="P39" s="42"/>
    </row>
    <row r="40" spans="2:16">
      <c r="B40" s="5"/>
      <c r="C40" s="25">
        <v>22</v>
      </c>
      <c r="D40" s="26" t="s">
        <v>122</v>
      </c>
      <c r="E40" s="27">
        <v>0</v>
      </c>
      <c r="F40" s="70" t="str">
        <f>IFERROR(VLOOKUP(G40,BASE!B$3:D$15,3,0),"")</f>
        <v/>
      </c>
      <c r="G40" s="46"/>
      <c r="H40" s="28">
        <f>IFERROR(VLOOKUP(G40,BASE!B$3:E$15,4,0),0)</f>
        <v>0</v>
      </c>
      <c r="I40" s="45">
        <f t="shared" si="0"/>
        <v>0</v>
      </c>
      <c r="J40" s="39"/>
      <c r="K40" s="1"/>
      <c r="L40" s="108" t="str">
        <f t="shared" si="1"/>
        <v/>
      </c>
      <c r="N40" s="69" t="str">
        <f>IFERROR(VLOOKUP(G40,BASE!B24:C36,2,0),"")</f>
        <v/>
      </c>
      <c r="O40" s="42"/>
      <c r="P40" s="42"/>
    </row>
    <row r="41" spans="2:16">
      <c r="B41" s="5"/>
      <c r="C41" s="25">
        <v>23</v>
      </c>
      <c r="D41" s="26" t="s">
        <v>122</v>
      </c>
      <c r="E41" s="27">
        <v>0</v>
      </c>
      <c r="F41" s="70" t="str">
        <f>IFERROR(VLOOKUP(G41,BASE!B$3:D$15,3,0),"")</f>
        <v/>
      </c>
      <c r="G41" s="46"/>
      <c r="H41" s="28">
        <f>IFERROR(VLOOKUP(G41,BASE!B$3:E$15,4,0),0)</f>
        <v>0</v>
      </c>
      <c r="I41" s="45">
        <f t="shared" si="0"/>
        <v>0</v>
      </c>
      <c r="J41" s="39"/>
      <c r="K41" s="1"/>
      <c r="L41" s="108" t="str">
        <f t="shared" si="1"/>
        <v/>
      </c>
      <c r="N41" s="69" t="str">
        <f>IFERROR(VLOOKUP(G41,BASE!B25:C37,2,0),"")</f>
        <v/>
      </c>
      <c r="O41" s="42"/>
      <c r="P41" s="42"/>
    </row>
    <row r="42" spans="2:16">
      <c r="B42" s="5"/>
      <c r="C42" s="25">
        <v>24</v>
      </c>
      <c r="D42" s="26" t="s">
        <v>122</v>
      </c>
      <c r="E42" s="27">
        <v>0</v>
      </c>
      <c r="F42" s="70" t="str">
        <f>IFERROR(VLOOKUP(G42,BASE!B$3:D$15,3,0),"")</f>
        <v/>
      </c>
      <c r="G42" s="46"/>
      <c r="H42" s="28">
        <f>IFERROR(VLOOKUP(G42,BASE!B$3:E$15,4,0),0)</f>
        <v>0</v>
      </c>
      <c r="I42" s="45">
        <f t="shared" si="0"/>
        <v>0</v>
      </c>
      <c r="J42" s="39"/>
      <c r="K42" s="1"/>
      <c r="L42" s="108" t="str">
        <f t="shared" si="1"/>
        <v/>
      </c>
      <c r="N42" s="69" t="str">
        <f>IFERROR(VLOOKUP(G42,BASE!B26:C38,2,0),"")</f>
        <v/>
      </c>
      <c r="O42" s="42"/>
      <c r="P42" s="42"/>
    </row>
    <row r="43" spans="2:16" s="2" customFormat="1" ht="8.25" customHeight="1">
      <c r="B43" s="78"/>
      <c r="C43" s="79"/>
      <c r="D43" s="79"/>
      <c r="E43" s="79"/>
      <c r="F43" s="79"/>
      <c r="G43" s="79"/>
      <c r="H43" s="79"/>
      <c r="I43" s="79"/>
      <c r="J43" s="39"/>
      <c r="K43" s="1"/>
      <c r="L43" s="1"/>
    </row>
    <row r="44" spans="2:16" ht="15.6">
      <c r="B44" s="15"/>
      <c r="C44" s="16"/>
      <c r="D44" s="17"/>
      <c r="E44" s="17"/>
      <c r="F44" s="51"/>
      <c r="G44" s="22" t="s">
        <v>40</v>
      </c>
      <c r="H44" s="84">
        <f>SUM(I19:I42)</f>
        <v>0</v>
      </c>
      <c r="I44" s="85"/>
      <c r="J44" s="39"/>
      <c r="K44" s="1"/>
      <c r="L44" s="1"/>
    </row>
    <row r="45" spans="2:16" s="2" customFormat="1" ht="8.25" customHeight="1">
      <c r="B45" s="78"/>
      <c r="C45" s="79"/>
      <c r="D45" s="79"/>
      <c r="E45" s="79"/>
      <c r="F45" s="79"/>
      <c r="G45" s="79"/>
      <c r="H45" s="79"/>
      <c r="I45" s="79"/>
      <c r="J45" s="39"/>
      <c r="K45" s="1"/>
      <c r="L45" s="1"/>
    </row>
    <row r="46" spans="2:16">
      <c r="B46" s="5"/>
      <c r="C46" s="88" t="s">
        <v>43</v>
      </c>
      <c r="D46" s="88"/>
      <c r="E46" s="88"/>
      <c r="F46" s="97" t="s">
        <v>114</v>
      </c>
      <c r="G46" s="97"/>
      <c r="H46" s="21"/>
      <c r="I46" s="21"/>
      <c r="J46" s="39"/>
      <c r="K46" s="1"/>
      <c r="L46" s="1"/>
    </row>
    <row r="47" spans="2:16">
      <c r="B47" s="5"/>
      <c r="C47" s="88" t="s">
        <v>19</v>
      </c>
      <c r="D47" s="88"/>
      <c r="E47" s="88"/>
      <c r="F47" s="74" t="s">
        <v>111</v>
      </c>
      <c r="G47" s="74"/>
      <c r="H47" s="21"/>
      <c r="I47" s="21"/>
      <c r="J47" s="39"/>
      <c r="K47" s="1"/>
      <c r="L47" s="1"/>
    </row>
    <row r="48" spans="2:16">
      <c r="B48" s="5"/>
      <c r="C48" s="89" t="s">
        <v>44</v>
      </c>
      <c r="D48" s="89"/>
      <c r="E48" s="89"/>
      <c r="F48" s="75" t="s">
        <v>105</v>
      </c>
      <c r="G48" s="75"/>
      <c r="H48" s="18"/>
      <c r="I48" s="18"/>
      <c r="J48" s="39"/>
      <c r="K48" s="1"/>
      <c r="L48" s="1"/>
    </row>
    <row r="49" spans="2:12">
      <c r="B49" s="5"/>
      <c r="D49" s="18"/>
      <c r="E49" s="18"/>
      <c r="F49" s="52"/>
      <c r="G49" s="90" t="s">
        <v>41</v>
      </c>
      <c r="H49" s="90"/>
      <c r="I49" s="90"/>
      <c r="J49" s="39"/>
      <c r="K49" s="1"/>
      <c r="L49" s="1"/>
    </row>
    <row r="50" spans="2:12" ht="4.8" customHeight="1" thickBot="1">
      <c r="B50" s="19"/>
      <c r="C50" s="20"/>
      <c r="D50" s="20"/>
      <c r="E50" s="20"/>
      <c r="F50" s="53"/>
      <c r="G50" s="73"/>
      <c r="H50" s="73"/>
      <c r="I50" s="73"/>
      <c r="J50" s="43"/>
      <c r="K50" s="1"/>
      <c r="L50" s="1"/>
    </row>
    <row r="51" spans="2:12">
      <c r="D51" s="18"/>
    </row>
  </sheetData>
  <dataConsolidate function="product">
    <dataRefs count="1">
      <dataRef ref="A1:C20" sheet="PRODUTOS" r:id="rId1"/>
    </dataRefs>
  </dataConsolidate>
  <mergeCells count="37">
    <mergeCell ref="C47:E47"/>
    <mergeCell ref="C48:E48"/>
    <mergeCell ref="G49:I49"/>
    <mergeCell ref="C16:D16"/>
    <mergeCell ref="J5:J9"/>
    <mergeCell ref="I3:I5"/>
    <mergeCell ref="I6:I8"/>
    <mergeCell ref="C46:E46"/>
    <mergeCell ref="F46:G46"/>
    <mergeCell ref="E12:I12"/>
    <mergeCell ref="C3:E10"/>
    <mergeCell ref="I9:I10"/>
    <mergeCell ref="F9:H9"/>
    <mergeCell ref="F10:H10"/>
    <mergeCell ref="F8:H8"/>
    <mergeCell ref="B11:I11"/>
    <mergeCell ref="F5:H5"/>
    <mergeCell ref="F6:H6"/>
    <mergeCell ref="C12:D12"/>
    <mergeCell ref="B45:I45"/>
    <mergeCell ref="E13:I13"/>
    <mergeCell ref="E15:I15"/>
    <mergeCell ref="E14:I14"/>
    <mergeCell ref="E16:I16"/>
    <mergeCell ref="C14:D14"/>
    <mergeCell ref="C15:D15"/>
    <mergeCell ref="C13:D13"/>
    <mergeCell ref="B43:I43"/>
    <mergeCell ref="H44:I44"/>
    <mergeCell ref="B3:B10"/>
    <mergeCell ref="F3:H3"/>
    <mergeCell ref="F4:H4"/>
    <mergeCell ref="O16:P16"/>
    <mergeCell ref="O18:P18"/>
    <mergeCell ref="G50:I50"/>
    <mergeCell ref="F47:G47"/>
    <mergeCell ref="F48:G48"/>
  </mergeCells>
  <phoneticPr fontId="10" alignment="center"/>
  <conditionalFormatting sqref="D19:D42">
    <cfRule type="expression" dxfId="5" priority="6">
      <formula>AND($E19&lt;&gt;0, $D19="-")</formula>
    </cfRule>
  </conditionalFormatting>
  <conditionalFormatting sqref="E19:E42">
    <cfRule type="expression" dxfId="4" priority="3">
      <formula>AND(F19&lt;&gt;"", E19=0)</formula>
    </cfRule>
  </conditionalFormatting>
  <conditionalFormatting sqref="L19:L42">
    <cfRule type="containsText" dxfId="3" priority="1" operator="containsText" text="Ok">
      <formula>NOT(ISERROR(SEARCH("Ok",L19)))</formula>
    </cfRule>
  </conditionalFormatting>
  <printOptions horizontalCentered="1"/>
  <pageMargins left="0.23622047244094491" right="0.23622047244094491" top="0.35433070866141736" bottom="0.55118110236220474" header="0.31496062992125984" footer="0.31496062992125984"/>
  <pageSetup paperSize="9" scale="75" orientation="landscape" r:id="rId2"/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B0AA68-E458-4414-A416-B756FFDD41AF}">
          <x14:formula1>
            <xm:f>UN!$A$2:$A$15</xm:f>
          </x14:formula1>
          <xm:sqref>D19:D42</xm:sqref>
        </x14:dataValidation>
        <x14:dataValidation type="list" allowBlank="1" showInputMessage="1" showErrorMessage="1" xr:uid="{CA52F975-34BC-499B-B6B5-1510997B9DB4}">
          <x14:formula1>
            <xm:f>SOLICITANTES!$A$4:$A$44</xm:f>
          </x14:formula1>
          <xm:sqref>E15:I15</xm:sqref>
        </x14:dataValidation>
        <x14:dataValidation type="list" showInputMessage="1" showErrorMessage="1" xr:uid="{A5999BA3-9C41-469B-8EAC-CA0F484A224C}">
          <x14:formula1>
            <xm:f>BASE!$B$3:$B$15</xm:f>
          </x14:formula1>
          <xm:sqref>G19:G42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58BD-24F0-4A4E-BC7B-BB17987D5B54}">
  <dimension ref="A1:E15"/>
  <sheetViews>
    <sheetView showGridLines="0" topLeftCell="B1" zoomScale="115" zoomScaleNormal="115" workbookViewId="0">
      <selection activeCell="C23" sqref="C23"/>
    </sheetView>
  </sheetViews>
  <sheetFormatPr defaultRowHeight="14.4"/>
  <cols>
    <col min="1" max="1" width="21.6640625" bestFit="1" customWidth="1"/>
    <col min="2" max="2" width="42.5546875" customWidth="1"/>
    <col min="3" max="3" width="142.88671875" bestFit="1" customWidth="1"/>
    <col min="4" max="4" width="10.77734375" bestFit="1" customWidth="1"/>
    <col min="5" max="5" width="10.6640625" bestFit="1" customWidth="1"/>
  </cols>
  <sheetData>
    <row r="1" spans="1:5">
      <c r="A1" t="s">
        <v>165</v>
      </c>
      <c r="B1" t="s">
        <v>134</v>
      </c>
      <c r="C1" t="s">
        <v>162</v>
      </c>
      <c r="D1" t="s">
        <v>8</v>
      </c>
      <c r="E1" t="s">
        <v>173</v>
      </c>
    </row>
    <row r="2" spans="1:5">
      <c r="A2" s="62" t="s">
        <v>122</v>
      </c>
      <c r="B2" s="62" t="s">
        <v>122</v>
      </c>
      <c r="C2" s="62" t="s">
        <v>122</v>
      </c>
      <c r="D2" s="62" t="s">
        <v>122</v>
      </c>
      <c r="E2" s="61" t="s">
        <v>122</v>
      </c>
    </row>
    <row r="3" spans="1:5">
      <c r="A3" s="62" t="s">
        <v>135</v>
      </c>
      <c r="B3" s="61" t="s">
        <v>168</v>
      </c>
      <c r="C3" s="61" t="s">
        <v>136</v>
      </c>
      <c r="D3" s="61" t="s">
        <v>172</v>
      </c>
      <c r="E3" s="71">
        <v>230</v>
      </c>
    </row>
    <row r="4" spans="1:5">
      <c r="A4" s="62" t="s">
        <v>135</v>
      </c>
      <c r="B4" s="61" t="s">
        <v>169</v>
      </c>
      <c r="C4" s="61" t="s">
        <v>170</v>
      </c>
      <c r="D4" s="61" t="s">
        <v>171</v>
      </c>
      <c r="E4" s="71">
        <v>520</v>
      </c>
    </row>
    <row r="5" spans="1:5">
      <c r="A5" s="62" t="s">
        <v>137</v>
      </c>
      <c r="B5" s="61" t="s">
        <v>138</v>
      </c>
      <c r="C5" s="61" t="s">
        <v>139</v>
      </c>
      <c r="D5" s="61" t="s">
        <v>132</v>
      </c>
      <c r="E5" s="71">
        <v>0</v>
      </c>
    </row>
    <row r="6" spans="1:5">
      <c r="A6" s="62" t="s">
        <v>137</v>
      </c>
      <c r="B6" s="61" t="s">
        <v>140</v>
      </c>
      <c r="C6" s="61" t="s">
        <v>141</v>
      </c>
      <c r="D6" s="61" t="s">
        <v>131</v>
      </c>
      <c r="E6" s="71">
        <v>0</v>
      </c>
    </row>
    <row r="7" spans="1:5">
      <c r="A7" s="62" t="s">
        <v>137</v>
      </c>
      <c r="B7" s="61" t="s">
        <v>142</v>
      </c>
      <c r="C7" s="61" t="s">
        <v>143</v>
      </c>
      <c r="D7" s="61" t="s">
        <v>130</v>
      </c>
      <c r="E7" s="71">
        <v>0</v>
      </c>
    </row>
    <row r="8" spans="1:5">
      <c r="A8" s="62" t="s">
        <v>144</v>
      </c>
      <c r="B8" s="61" t="s">
        <v>128</v>
      </c>
      <c r="C8" s="61" t="s">
        <v>145</v>
      </c>
      <c r="D8" s="61" t="s">
        <v>127</v>
      </c>
      <c r="E8" s="71">
        <v>0</v>
      </c>
    </row>
    <row r="9" spans="1:5">
      <c r="A9" s="62" t="s">
        <v>144</v>
      </c>
      <c r="B9" s="61" t="s">
        <v>129</v>
      </c>
      <c r="C9" s="61" t="s">
        <v>146</v>
      </c>
      <c r="D9" s="61" t="s">
        <v>126</v>
      </c>
      <c r="E9" s="71">
        <v>0</v>
      </c>
    </row>
    <row r="10" spans="1:5">
      <c r="A10" s="62" t="s">
        <v>147</v>
      </c>
      <c r="B10" s="61" t="s">
        <v>124</v>
      </c>
      <c r="C10" s="61" t="s">
        <v>167</v>
      </c>
      <c r="D10" s="61" t="s">
        <v>148</v>
      </c>
      <c r="E10" s="71">
        <v>0</v>
      </c>
    </row>
    <row r="11" spans="1:5">
      <c r="A11" s="62" t="s">
        <v>149</v>
      </c>
      <c r="B11" s="61" t="s">
        <v>150</v>
      </c>
      <c r="C11" s="61" t="s">
        <v>151</v>
      </c>
      <c r="D11" s="61" t="s">
        <v>133</v>
      </c>
      <c r="E11" s="71">
        <v>0</v>
      </c>
    </row>
    <row r="12" spans="1:5">
      <c r="A12" s="62" t="s">
        <v>163</v>
      </c>
      <c r="B12" s="61" t="s">
        <v>152</v>
      </c>
      <c r="C12" s="61" t="s">
        <v>153</v>
      </c>
      <c r="D12" s="61" t="s">
        <v>154</v>
      </c>
      <c r="E12" s="71">
        <v>0</v>
      </c>
    </row>
    <row r="13" spans="1:5">
      <c r="A13" s="62" t="s">
        <v>163</v>
      </c>
      <c r="B13" s="61" t="s">
        <v>155</v>
      </c>
      <c r="C13" s="61" t="s">
        <v>156</v>
      </c>
      <c r="D13" s="61" t="s">
        <v>154</v>
      </c>
      <c r="E13" s="71">
        <v>0</v>
      </c>
    </row>
    <row r="14" spans="1:5">
      <c r="A14" s="62" t="s">
        <v>163</v>
      </c>
      <c r="B14" s="61" t="s">
        <v>125</v>
      </c>
      <c r="C14" s="61" t="s">
        <v>157</v>
      </c>
      <c r="D14" s="61" t="s">
        <v>123</v>
      </c>
      <c r="E14" s="71">
        <v>0</v>
      </c>
    </row>
    <row r="15" spans="1:5">
      <c r="A15" s="62" t="s">
        <v>158</v>
      </c>
      <c r="B15" s="61" t="s">
        <v>159</v>
      </c>
      <c r="C15" s="61" t="s">
        <v>160</v>
      </c>
      <c r="D15" s="61" t="s">
        <v>161</v>
      </c>
      <c r="E15" s="71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6098-43D3-435D-AB42-FE34504D802D}">
  <dimension ref="A1:A9"/>
  <sheetViews>
    <sheetView zoomScale="130" zoomScaleNormal="130" workbookViewId="0">
      <selection activeCell="C17" sqref="C17"/>
    </sheetView>
  </sheetViews>
  <sheetFormatPr defaultRowHeight="14.4"/>
  <cols>
    <col min="1" max="1" width="21.88671875" customWidth="1"/>
  </cols>
  <sheetData>
    <row r="1" spans="1:1">
      <c r="A1" s="63" t="s">
        <v>122</v>
      </c>
    </row>
    <row r="2" spans="1:1">
      <c r="A2" s="63" t="s">
        <v>135</v>
      </c>
    </row>
    <row r="3" spans="1:1">
      <c r="A3" s="64" t="s">
        <v>135</v>
      </c>
    </row>
    <row r="4" spans="1:1">
      <c r="A4" s="63" t="s">
        <v>137</v>
      </c>
    </row>
    <row r="5" spans="1:1">
      <c r="A5" s="64" t="s">
        <v>144</v>
      </c>
    </row>
    <row r="6" spans="1:1">
      <c r="A6" s="64" t="s">
        <v>147</v>
      </c>
    </row>
    <row r="7" spans="1:1">
      <c r="A7" s="63" t="s">
        <v>149</v>
      </c>
    </row>
    <row r="8" spans="1:1">
      <c r="A8" s="64" t="s">
        <v>163</v>
      </c>
    </row>
    <row r="9" spans="1:1">
      <c r="A9" s="63" t="s">
        <v>158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A2BF-58B1-4802-BA28-962FEF40B1F5}">
  <sheetPr codeName="Planilha6"/>
  <dimension ref="A1:C15"/>
  <sheetViews>
    <sheetView showGridLines="0" workbookViewId="0">
      <selection activeCell="J14" sqref="J14"/>
    </sheetView>
  </sheetViews>
  <sheetFormatPr defaultRowHeight="14.4"/>
  <cols>
    <col min="1" max="1" width="21.21875" bestFit="1" customWidth="1"/>
  </cols>
  <sheetData>
    <row r="1" spans="1:3">
      <c r="A1" s="65" t="s">
        <v>164</v>
      </c>
      <c r="B1" s="29"/>
      <c r="C1" s="29"/>
    </row>
    <row r="2" spans="1:3">
      <c r="A2" s="66" t="s">
        <v>122</v>
      </c>
      <c r="B2" s="3"/>
      <c r="C2" s="3"/>
    </row>
    <row r="3" spans="1:3">
      <c r="A3" s="66" t="s">
        <v>45</v>
      </c>
      <c r="B3" s="3"/>
      <c r="C3" s="3"/>
    </row>
    <row r="4" spans="1:3">
      <c r="A4" s="66" t="s">
        <v>49</v>
      </c>
      <c r="B4" s="3"/>
      <c r="C4" s="3"/>
    </row>
    <row r="5" spans="1:3">
      <c r="A5" s="66" t="s">
        <v>46</v>
      </c>
      <c r="B5" s="3"/>
      <c r="C5" s="3"/>
    </row>
    <row r="6" spans="1:3">
      <c r="A6" s="66" t="s">
        <v>33</v>
      </c>
      <c r="B6" s="3"/>
      <c r="C6" s="3"/>
    </row>
    <row r="7" spans="1:3">
      <c r="A7" s="66" t="s">
        <v>21</v>
      </c>
      <c r="B7" s="3"/>
      <c r="C7" s="3"/>
    </row>
    <row r="8" spans="1:3">
      <c r="A8" s="66" t="s">
        <v>24</v>
      </c>
      <c r="B8" s="3"/>
      <c r="C8" s="3"/>
    </row>
    <row r="9" spans="1:3">
      <c r="A9" s="66" t="s">
        <v>48</v>
      </c>
      <c r="B9" s="3"/>
      <c r="C9" s="3"/>
    </row>
    <row r="10" spans="1:3">
      <c r="A10" s="66" t="s">
        <v>22</v>
      </c>
      <c r="B10" s="3"/>
      <c r="C10" s="3"/>
    </row>
    <row r="11" spans="1:3">
      <c r="A11" s="66" t="s">
        <v>23</v>
      </c>
      <c r="B11" s="3"/>
      <c r="C11" s="3"/>
    </row>
    <row r="12" spans="1:3">
      <c r="A12" s="66" t="s">
        <v>50</v>
      </c>
      <c r="B12" s="3"/>
      <c r="C12" s="3"/>
    </row>
    <row r="13" spans="1:3">
      <c r="A13" s="66" t="s">
        <v>51</v>
      </c>
      <c r="B13" s="3"/>
      <c r="C13" s="3"/>
    </row>
    <row r="14" spans="1:3">
      <c r="A14" s="66" t="s">
        <v>90</v>
      </c>
      <c r="B14" s="3"/>
      <c r="C14" s="3"/>
    </row>
    <row r="15" spans="1:3">
      <c r="A15" s="67" t="s">
        <v>47</v>
      </c>
      <c r="B15" s="3"/>
      <c r="C15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314FF-0FD0-42EB-B2B5-B7CCCBFA59B3}">
  <sheetPr codeName="Planilha5"/>
  <dimension ref="A1:C51"/>
  <sheetViews>
    <sheetView workbookViewId="0">
      <selection activeCell="F23" sqref="F23"/>
    </sheetView>
  </sheetViews>
  <sheetFormatPr defaultRowHeight="14.4"/>
  <cols>
    <col min="1" max="1" width="50.88671875" customWidth="1"/>
    <col min="2" max="2" width="52.44140625" customWidth="1"/>
  </cols>
  <sheetData>
    <row r="1" spans="1:2" ht="27" customHeight="1">
      <c r="A1" s="12" t="s">
        <v>17</v>
      </c>
      <c r="B1" s="12" t="s">
        <v>36</v>
      </c>
    </row>
    <row r="2" spans="1:2" ht="5.0999999999999996" customHeight="1">
      <c r="A2" s="14"/>
      <c r="B2" s="13"/>
    </row>
    <row r="3" spans="1:2">
      <c r="A3" s="55" t="s">
        <v>35</v>
      </c>
      <c r="B3" s="56" t="s">
        <v>34</v>
      </c>
    </row>
    <row r="4" spans="1:2" ht="5.0999999999999996" customHeight="1">
      <c r="A4" s="54"/>
    </row>
    <row r="5" spans="1:2">
      <c r="A5" t="s">
        <v>101</v>
      </c>
      <c r="B5" s="57" t="s">
        <v>102</v>
      </c>
    </row>
    <row r="6" spans="1:2" ht="5.0999999999999996" customHeight="1">
      <c r="A6" s="54"/>
    </row>
    <row r="7" spans="1:2">
      <c r="A7" t="s">
        <v>30</v>
      </c>
      <c r="B7" t="s">
        <v>18</v>
      </c>
    </row>
    <row r="8" spans="1:2" ht="5.0999999999999996" customHeight="1">
      <c r="A8" s="54"/>
    </row>
    <row r="9" spans="1:2">
      <c r="A9" t="s">
        <v>28</v>
      </c>
      <c r="B9" t="s">
        <v>29</v>
      </c>
    </row>
    <row r="10" spans="1:2" ht="5.0999999999999996" customHeight="1">
      <c r="A10" s="54"/>
    </row>
    <row r="11" spans="1:2">
      <c r="A11" t="s">
        <v>109</v>
      </c>
      <c r="B11" s="58" t="s">
        <v>110</v>
      </c>
    </row>
    <row r="12" spans="1:2" ht="5.0999999999999996" customHeight="1">
      <c r="A12" s="54"/>
    </row>
    <row r="13" spans="1:2">
      <c r="A13" t="s">
        <v>116</v>
      </c>
      <c r="B13" t="s">
        <v>120</v>
      </c>
    </row>
    <row r="14" spans="1:2" ht="5.0999999999999996" customHeight="1">
      <c r="A14" s="54"/>
    </row>
    <row r="15" spans="1:2">
      <c r="A15" t="s">
        <v>117</v>
      </c>
      <c r="B15" t="s">
        <v>120</v>
      </c>
    </row>
    <row r="16" spans="1:2" ht="5.0999999999999996" customHeight="1">
      <c r="A16" s="54"/>
    </row>
    <row r="17" spans="1:2">
      <c r="A17" t="s">
        <v>118</v>
      </c>
      <c r="B17" t="s">
        <v>120</v>
      </c>
    </row>
    <row r="18" spans="1:2" ht="5.0999999999999996" customHeight="1">
      <c r="A18" s="54"/>
    </row>
    <row r="19" spans="1:2">
      <c r="A19" t="s">
        <v>119</v>
      </c>
      <c r="B19" t="s">
        <v>120</v>
      </c>
    </row>
    <row r="20" spans="1:2" ht="5.0999999999999996" customHeight="1">
      <c r="A20" s="54"/>
    </row>
    <row r="22" spans="1:2" ht="5.0999999999999996" customHeight="1">
      <c r="A22" s="54"/>
    </row>
    <row r="23" spans="1:2">
      <c r="A23" t="s">
        <v>95</v>
      </c>
      <c r="B23" s="59" t="s">
        <v>96</v>
      </c>
    </row>
    <row r="24" spans="1:2" ht="5.0999999999999996" customHeight="1">
      <c r="A24" s="54"/>
    </row>
    <row r="25" spans="1:2">
      <c r="A25" t="s">
        <v>92</v>
      </c>
      <c r="B25" s="57" t="s">
        <v>91</v>
      </c>
    </row>
    <row r="26" spans="1:2" ht="5.0999999999999996" customHeight="1">
      <c r="A26" s="54"/>
    </row>
    <row r="27" spans="1:2">
      <c r="A27" t="s">
        <v>99</v>
      </c>
      <c r="B27" s="58" t="s">
        <v>100</v>
      </c>
    </row>
    <row r="28" spans="1:2" ht="5.0999999999999996" customHeight="1">
      <c r="A28" s="54"/>
    </row>
    <row r="29" spans="1:2">
      <c r="A29" t="s">
        <v>31</v>
      </c>
      <c r="B29" t="s">
        <v>32</v>
      </c>
    </row>
    <row r="30" spans="1:2" ht="5.0999999999999996" customHeight="1">
      <c r="A30" s="14"/>
      <c r="B30" s="13"/>
    </row>
    <row r="31" spans="1:2">
      <c r="A31" t="s">
        <v>37</v>
      </c>
      <c r="B31" t="s">
        <v>38</v>
      </c>
    </row>
    <row r="32" spans="1:2" ht="5.0999999999999996" customHeight="1">
      <c r="A32" s="14"/>
      <c r="B32" s="13"/>
    </row>
    <row r="33" spans="1:3">
      <c r="A33" t="s">
        <v>107</v>
      </c>
      <c r="B33" s="57" t="s">
        <v>106</v>
      </c>
    </row>
    <row r="34" spans="1:3" ht="5.0999999999999996" customHeight="1">
      <c r="A34" s="14"/>
      <c r="B34" s="13"/>
    </row>
    <row r="35" spans="1:3">
      <c r="A35" t="s">
        <v>112</v>
      </c>
      <c r="B35" s="60" t="s">
        <v>113</v>
      </c>
      <c r="C35" t="s">
        <v>121</v>
      </c>
    </row>
    <row r="36" spans="1:3" ht="5.0999999999999996" customHeight="1">
      <c r="A36" s="14"/>
      <c r="B36" s="13"/>
    </row>
    <row r="37" spans="1:3">
      <c r="A37" t="s">
        <v>103</v>
      </c>
      <c r="B37" s="57" t="s">
        <v>104</v>
      </c>
    </row>
    <row r="38" spans="1:3" ht="5.0999999999999996" customHeight="1">
      <c r="A38" s="14"/>
      <c r="B38" s="13"/>
    </row>
    <row r="39" spans="1:3">
      <c r="A39" t="s">
        <v>94</v>
      </c>
      <c r="B39" s="58" t="s">
        <v>93</v>
      </c>
    </row>
    <row r="40" spans="1:3" ht="5.0999999999999996" customHeight="1">
      <c r="A40" s="14"/>
      <c r="B40" s="13"/>
    </row>
    <row r="41" spans="1:3">
      <c r="A41" t="s">
        <v>97</v>
      </c>
      <c r="B41" s="57" t="s">
        <v>98</v>
      </c>
    </row>
    <row r="42" spans="1:3" ht="5.0999999999999996" customHeight="1">
      <c r="A42" s="14"/>
      <c r="B42" s="13"/>
    </row>
    <row r="44" spans="1:3" ht="5.0999999999999996" customHeight="1">
      <c r="A44" s="14"/>
      <c r="B44" s="13"/>
    </row>
    <row r="45" spans="1:3">
      <c r="B45" s="47"/>
    </row>
    <row r="46" spans="1:3" ht="5.0999999999999996" customHeight="1">
      <c r="A46" s="14"/>
      <c r="B46" s="13"/>
    </row>
    <row r="47" spans="1:3">
      <c r="B47" s="47"/>
    </row>
    <row r="48" spans="1:3" ht="5.0999999999999996" customHeight="1">
      <c r="A48" s="14"/>
      <c r="B48" s="13"/>
    </row>
    <row r="49" spans="1:2">
      <c r="B49" s="47"/>
    </row>
    <row r="50" spans="1:2" ht="5.0999999999999996" customHeight="1">
      <c r="A50" s="14"/>
      <c r="B50" s="13"/>
    </row>
    <row r="51" spans="1:2">
      <c r="B51" s="47"/>
    </row>
  </sheetData>
  <hyperlinks>
    <hyperlink ref="B37" r:id="rId1" xr:uid="{2878A734-1191-914B-B6DF-07D734619286}"/>
    <hyperlink ref="B25" r:id="rId2" xr:uid="{92C19189-CA1C-E04D-8651-2537A721D8C0}"/>
    <hyperlink ref="B23" r:id="rId3" xr:uid="{E7E5ABDA-226A-3A4C-A7CE-B9DA4922ACCC}"/>
    <hyperlink ref="B41" r:id="rId4" xr:uid="{7B0CBB7A-442F-F844-BA8E-3257759F208E}"/>
    <hyperlink ref="B5" r:id="rId5" xr:uid="{497DC90F-8B4C-9647-9010-2F477B2432A6}"/>
    <hyperlink ref="B33" r:id="rId6" xr:uid="{223B0E8A-2661-0148-99DC-AE35DE05BE42}"/>
    <hyperlink ref="B35" r:id="rId7" xr:uid="{1A40D1AA-2E7A-4CA1-8304-1355F76CB99C}"/>
  </hyperlinks>
  <pageMargins left="0.511811024" right="0.511811024" top="0.78740157499999996" bottom="0.78740157499999996" header="0.31496062000000002" footer="0.31496062000000002"/>
  <pageSetup paperSize="9" orientation="portrait" verticalDpi="0" r:id="rId8"/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DDC0E-19C5-44D2-B392-D1991399D280}">
  <sheetPr codeName="Planilha7"/>
  <dimension ref="A1:M20"/>
  <sheetViews>
    <sheetView workbookViewId="0">
      <selection activeCell="E20" sqref="E20"/>
    </sheetView>
  </sheetViews>
  <sheetFormatPr defaultRowHeight="14.4"/>
  <cols>
    <col min="1" max="1" width="27.88671875" style="30" customWidth="1"/>
    <col min="2" max="2" width="24.44140625" style="30" bestFit="1" customWidth="1"/>
    <col min="3" max="3" width="33" style="30" bestFit="1" customWidth="1"/>
    <col min="4" max="4" width="22.5546875" style="30" bestFit="1" customWidth="1"/>
    <col min="5" max="5" width="37.109375" style="30" bestFit="1" customWidth="1"/>
    <col min="6" max="6" width="22.33203125" style="30" customWidth="1"/>
    <col min="7" max="7" width="14.33203125" customWidth="1"/>
  </cols>
  <sheetData>
    <row r="1" spans="1:13" s="30" customFormat="1" ht="24.9" customHeight="1">
      <c r="A1" s="33" t="s">
        <v>52</v>
      </c>
      <c r="B1" s="33" t="s">
        <v>53</v>
      </c>
      <c r="C1" s="33" t="s">
        <v>60</v>
      </c>
      <c r="D1" s="33" t="s">
        <v>54</v>
      </c>
      <c r="E1" s="33" t="s">
        <v>68</v>
      </c>
      <c r="F1" s="34" t="s">
        <v>26</v>
      </c>
      <c r="G1" s="34" t="s">
        <v>58</v>
      </c>
      <c r="H1" s="34"/>
      <c r="I1" s="34"/>
      <c r="J1" s="34"/>
      <c r="K1" s="34"/>
      <c r="L1" s="34"/>
      <c r="M1" s="35"/>
    </row>
    <row r="2" spans="1:13" ht="24.9" customHeight="1">
      <c r="A2" s="37" t="s">
        <v>57</v>
      </c>
      <c r="B2" s="36" t="s">
        <v>55</v>
      </c>
      <c r="C2" s="36" t="s">
        <v>61</v>
      </c>
      <c r="D2" s="36" t="s">
        <v>64</v>
      </c>
      <c r="E2" s="36" t="s">
        <v>70</v>
      </c>
      <c r="F2" s="34"/>
      <c r="G2" s="32" t="s">
        <v>59</v>
      </c>
      <c r="H2" s="31"/>
      <c r="I2" s="31"/>
      <c r="J2" s="31"/>
      <c r="K2" s="31"/>
      <c r="L2" s="31"/>
    </row>
    <row r="3" spans="1:13" ht="24.9" customHeight="1">
      <c r="A3" s="36" t="s">
        <v>56</v>
      </c>
      <c r="B3" s="34"/>
      <c r="C3" s="36" t="s">
        <v>71</v>
      </c>
      <c r="D3" s="36" t="s">
        <v>65</v>
      </c>
      <c r="E3" s="36" t="s">
        <v>69</v>
      </c>
      <c r="F3" s="34"/>
      <c r="G3" s="32" t="s">
        <v>62</v>
      </c>
      <c r="H3" s="31"/>
      <c r="I3" s="31"/>
      <c r="J3" s="31"/>
      <c r="K3" s="31"/>
      <c r="L3" s="31"/>
    </row>
    <row r="4" spans="1:13" ht="24.9" customHeight="1">
      <c r="A4" s="34"/>
      <c r="B4" s="34"/>
      <c r="C4" s="36" t="s">
        <v>72</v>
      </c>
      <c r="D4" s="36" t="s">
        <v>66</v>
      </c>
      <c r="E4" s="34"/>
      <c r="F4" s="34"/>
      <c r="G4" s="32" t="s">
        <v>63</v>
      </c>
      <c r="H4" s="31"/>
      <c r="I4" s="31"/>
      <c r="J4" s="31"/>
      <c r="K4" s="31"/>
      <c r="L4" s="31"/>
    </row>
    <row r="5" spans="1:13" ht="24.9" customHeight="1">
      <c r="A5" s="34"/>
      <c r="B5" s="34"/>
      <c r="C5" s="36" t="s">
        <v>75</v>
      </c>
      <c r="D5" s="36" t="s">
        <v>67</v>
      </c>
      <c r="E5" s="34"/>
      <c r="F5" s="34"/>
      <c r="G5" s="32" t="s">
        <v>63</v>
      </c>
      <c r="H5" s="31"/>
      <c r="I5" s="31"/>
      <c r="J5" s="31"/>
      <c r="K5" s="31"/>
      <c r="L5" s="31"/>
    </row>
    <row r="6" spans="1:13" ht="24.9" customHeight="1">
      <c r="A6" s="34"/>
      <c r="B6" s="34"/>
      <c r="C6" s="36" t="s">
        <v>76</v>
      </c>
      <c r="D6" s="36" t="s">
        <v>73</v>
      </c>
      <c r="E6" s="34"/>
      <c r="F6" s="34"/>
      <c r="G6" s="31"/>
      <c r="H6" s="31"/>
      <c r="I6" s="31"/>
      <c r="J6" s="31"/>
      <c r="K6" s="31"/>
      <c r="L6" s="31"/>
    </row>
    <row r="7" spans="1:13" ht="24.9" customHeight="1">
      <c r="A7" s="34"/>
      <c r="B7" s="34"/>
      <c r="C7" s="36" t="s">
        <v>77</v>
      </c>
      <c r="D7" s="36" t="s">
        <v>74</v>
      </c>
      <c r="E7" s="34"/>
      <c r="F7" s="34"/>
      <c r="G7" s="31"/>
      <c r="H7" s="31"/>
      <c r="I7" s="31"/>
      <c r="J7" s="31"/>
      <c r="K7" s="31"/>
      <c r="L7" s="31"/>
    </row>
    <row r="8" spans="1:13" ht="24.9" customHeight="1">
      <c r="A8" s="34"/>
      <c r="B8" s="34"/>
      <c r="C8" s="34"/>
      <c r="D8" s="34"/>
      <c r="E8" s="34"/>
      <c r="F8" s="34"/>
      <c r="G8" s="31"/>
      <c r="H8" s="31"/>
      <c r="I8" s="31"/>
      <c r="J8" s="31"/>
      <c r="K8" s="31"/>
      <c r="L8" s="31"/>
    </row>
    <row r="9" spans="1:13" ht="24.9" customHeight="1">
      <c r="A9" s="34"/>
      <c r="B9" s="34"/>
      <c r="C9" s="34"/>
      <c r="D9" s="34"/>
      <c r="E9" s="34"/>
      <c r="F9" s="34"/>
      <c r="G9" s="31"/>
      <c r="H9" s="31"/>
      <c r="I9" s="31"/>
      <c r="J9" s="31"/>
      <c r="K9" s="31"/>
      <c r="L9" s="31"/>
    </row>
    <row r="10" spans="1:13" ht="24.9" customHeight="1">
      <c r="A10" s="34"/>
      <c r="B10" s="34"/>
      <c r="C10" s="34"/>
      <c r="D10" s="34"/>
      <c r="E10" s="34"/>
      <c r="F10" s="34"/>
      <c r="G10" s="31"/>
      <c r="H10" s="31"/>
      <c r="I10" s="31"/>
      <c r="J10" s="31"/>
      <c r="K10" s="31"/>
      <c r="L10" s="31"/>
    </row>
    <row r="11" spans="1:13" ht="24.9" customHeight="1">
      <c r="A11" s="34"/>
      <c r="B11" s="34"/>
      <c r="C11" s="34"/>
      <c r="D11" s="34"/>
      <c r="E11" s="34"/>
      <c r="F11" s="34"/>
      <c r="G11" s="31"/>
      <c r="H11" s="31"/>
      <c r="I11" s="31"/>
      <c r="J11" s="31"/>
      <c r="K11" s="31"/>
      <c r="L11" s="31"/>
    </row>
    <row r="12" spans="1:13" ht="24.9" customHeight="1">
      <c r="A12" s="34"/>
      <c r="B12" s="34"/>
      <c r="C12" s="34"/>
      <c r="D12" s="34"/>
      <c r="E12" s="34"/>
      <c r="F12" s="34"/>
      <c r="G12" s="31"/>
      <c r="H12" s="31"/>
      <c r="I12" s="31"/>
      <c r="J12" s="31"/>
      <c r="K12" s="31"/>
      <c r="L12" s="31"/>
    </row>
    <row r="13" spans="1:13" ht="24.9" customHeight="1"/>
    <row r="14" spans="1:13" ht="24.9" customHeight="1"/>
    <row r="15" spans="1:13" ht="24.9" customHeight="1"/>
    <row r="16" spans="1:13" ht="24.9" customHeight="1"/>
    <row r="17" ht="24.9" customHeight="1"/>
    <row r="18" ht="24.9" customHeight="1"/>
    <row r="19" ht="24.9" customHeight="1"/>
    <row r="20" ht="24.9" customHeight="1"/>
  </sheetData>
  <hyperlinks>
    <hyperlink ref="B2" r:id="rId1" xr:uid="{59201E39-9BE0-4794-98F3-12E01B4756AC}"/>
    <hyperlink ref="A2" r:id="rId2" xr:uid="{CB8A4A8E-0C3B-4F70-93E9-FA18BAF50BC6}"/>
    <hyperlink ref="A3" r:id="rId3" xr:uid="{BC33AFE5-9367-4C16-AD74-659DC223F040}"/>
    <hyperlink ref="G2" r:id="rId4" xr:uid="{1E80F5D7-36F1-4157-AAC4-758ED7E31480}"/>
    <hyperlink ref="C2" r:id="rId5" xr:uid="{E0FCF519-AB38-4FA5-8BC7-8A529A31995E}"/>
    <hyperlink ref="G3" r:id="rId6" xr:uid="{699B7DB8-A97C-42AF-9A78-597AC7CE9B43}"/>
    <hyperlink ref="D2" r:id="rId7" xr:uid="{075ACF56-D802-47E6-8942-0881DEBF0713}"/>
    <hyperlink ref="G4" r:id="rId8" xr:uid="{3960CCF0-FD0F-4F8C-8931-AF5AED8A45E7}"/>
    <hyperlink ref="G5" r:id="rId9" xr:uid="{F5DD19F3-304A-4094-A132-4F570038483C}"/>
    <hyperlink ref="D3" r:id="rId10" xr:uid="{ADF78BA1-E95F-4227-8278-BA8CA2F99777}"/>
    <hyperlink ref="D4" r:id="rId11" location="page/1" xr:uid="{CB0018CB-E522-44CD-8679-F70632C42274}"/>
    <hyperlink ref="D5" r:id="rId12" xr:uid="{7296EFAC-89A7-4305-859A-4ABD9F976A12}"/>
    <hyperlink ref="E2" r:id="rId13" xr:uid="{B8A3456B-FD7E-42DC-9647-B005F2DFA4BB}"/>
    <hyperlink ref="E3" r:id="rId14" xr:uid="{BBE556D6-1514-47C6-AB60-F0151BDFFEE5}"/>
    <hyperlink ref="C3" r:id="rId15" xr:uid="{65B928B4-B2E5-4687-8190-A0914102726D}"/>
    <hyperlink ref="C4" r:id="rId16" xr:uid="{505B6FD5-1AD7-4E87-A5C4-ACC6EE8B7707}"/>
    <hyperlink ref="D6" r:id="rId17" xr:uid="{B4FD11E5-BA3E-467F-96FD-7315780BB315}"/>
    <hyperlink ref="D7" r:id="rId18" xr:uid="{B319C77A-2E9A-4D62-BCB3-6F6DAC0EEFC0}"/>
    <hyperlink ref="C5" r:id="rId19" xr:uid="{827E05B9-B120-4E1B-BEA0-A4AF50BC3A46}"/>
    <hyperlink ref="C6" r:id="rId20" xr:uid="{FE8251FA-F5D6-4026-8425-1D4E2C982078}"/>
    <hyperlink ref="C7" r:id="rId21" xr:uid="{10A58753-9F03-46F8-8321-52324B822EED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31C1-374E-4877-95DE-E9D0C925DF96}">
  <sheetPr codeName="Planilha8"/>
  <dimension ref="A1:B20"/>
  <sheetViews>
    <sheetView workbookViewId="0">
      <selection activeCell="B31" sqref="B31"/>
    </sheetView>
  </sheetViews>
  <sheetFormatPr defaultRowHeight="14.4"/>
  <cols>
    <col min="1" max="1" width="29.109375" bestFit="1" customWidth="1"/>
    <col min="2" max="2" width="43.6640625" bestFit="1" customWidth="1"/>
  </cols>
  <sheetData>
    <row r="1" spans="1:2" s="30" customFormat="1" ht="24.9" customHeight="1">
      <c r="A1" s="30" t="s">
        <v>79</v>
      </c>
      <c r="B1" s="30" t="s">
        <v>25</v>
      </c>
    </row>
    <row r="2" spans="1:2">
      <c r="A2" s="44" t="s">
        <v>78</v>
      </c>
      <c r="B2" s="30" t="s">
        <v>82</v>
      </c>
    </row>
    <row r="3" spans="1:2">
      <c r="A3" s="44" t="s">
        <v>80</v>
      </c>
      <c r="B3" s="30" t="s">
        <v>81</v>
      </c>
    </row>
    <row r="4" spans="1:2">
      <c r="A4" s="44" t="s">
        <v>85</v>
      </c>
      <c r="B4" s="30" t="s">
        <v>83</v>
      </c>
    </row>
    <row r="5" spans="1:2">
      <c r="A5" s="44" t="s">
        <v>84</v>
      </c>
      <c r="B5" s="30" t="s">
        <v>83</v>
      </c>
    </row>
    <row r="6" spans="1:2">
      <c r="A6" s="44" t="s">
        <v>86</v>
      </c>
      <c r="B6" s="30" t="s">
        <v>87</v>
      </c>
    </row>
    <row r="7" spans="1:2">
      <c r="A7" s="44" t="s">
        <v>88</v>
      </c>
      <c r="B7" s="30" t="s">
        <v>89</v>
      </c>
    </row>
    <row r="8" spans="1:2">
      <c r="A8" s="30"/>
      <c r="B8" s="30"/>
    </row>
    <row r="9" spans="1:2">
      <c r="A9" s="30"/>
      <c r="B9" s="30"/>
    </row>
    <row r="10" spans="1:2">
      <c r="A10" s="30"/>
      <c r="B10" s="30"/>
    </row>
    <row r="11" spans="1:2">
      <c r="A11" s="30"/>
      <c r="B11" s="30"/>
    </row>
    <row r="12" spans="1:2">
      <c r="A12" s="30"/>
      <c r="B12" s="30"/>
    </row>
    <row r="13" spans="1:2">
      <c r="A13" s="30"/>
      <c r="B13" s="30"/>
    </row>
    <row r="14" spans="1:2">
      <c r="A14" s="30"/>
      <c r="B14" s="30"/>
    </row>
    <row r="15" spans="1:2">
      <c r="A15" s="30"/>
      <c r="B15" s="30"/>
    </row>
    <row r="16" spans="1:2">
      <c r="A16" s="30"/>
      <c r="B16" s="30"/>
    </row>
    <row r="17" spans="1:2">
      <c r="A17" s="30"/>
      <c r="B17" s="30"/>
    </row>
    <row r="18" spans="1:2">
      <c r="A18" s="30"/>
      <c r="B18" s="30"/>
    </row>
    <row r="19" spans="1:2">
      <c r="A19" s="30"/>
      <c r="B19" s="30"/>
    </row>
    <row r="20" spans="1:2">
      <c r="A20" s="30"/>
      <c r="B20" s="30"/>
    </row>
  </sheetData>
  <hyperlinks>
    <hyperlink ref="A2" r:id="rId1" xr:uid="{ED39661A-75E4-4F97-8832-A1F8BE54611B}"/>
    <hyperlink ref="A3" r:id="rId2" xr:uid="{57234E77-7EEB-4945-9E1A-BF23FAD7E770}"/>
    <hyperlink ref="A4" r:id="rId3" xr:uid="{10FD78F5-1E68-4CB3-98F2-925A2C0D19C5}"/>
    <hyperlink ref="A5" r:id="rId4" xr:uid="{CA7F9DF1-690F-4272-B6CD-3250229C8EE6}"/>
    <hyperlink ref="A6" r:id="rId5" xr:uid="{72E33CDC-F175-42C6-935B-D788AE457189}"/>
    <hyperlink ref="A7" r:id="rId6" xr:uid="{B862D9DD-EDD9-4968-BD74-2FB29E026C3A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PLANILHA</vt:lpstr>
      <vt:lpstr>BASE</vt:lpstr>
      <vt:lpstr>FILTER</vt:lpstr>
      <vt:lpstr>UN</vt:lpstr>
      <vt:lpstr>SOLICITANTES</vt:lpstr>
      <vt:lpstr>FORNECEDORES</vt:lpstr>
      <vt:lpstr>SITES</vt:lpstr>
      <vt:lpstr>PLANILHA!Area_de_impressao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Oliveira</dc:creator>
  <cp:lastModifiedBy>Alexsandro Monteiro De Oliveira</cp:lastModifiedBy>
  <cp:lastPrinted>2025-08-07T13:30:42Z</cp:lastPrinted>
  <dcterms:created xsi:type="dcterms:W3CDTF">2015-06-05T18:17:20Z</dcterms:created>
  <dcterms:modified xsi:type="dcterms:W3CDTF">2025-08-07T16:32:28Z</dcterms:modified>
</cp:coreProperties>
</file>